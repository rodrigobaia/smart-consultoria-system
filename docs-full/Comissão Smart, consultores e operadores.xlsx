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1-git-rodrigobaia\smart-consultoria-system\docs\"/>
    </mc:Choice>
  </mc:AlternateContent>
  <xr:revisionPtr revIDLastSave="0" documentId="13_ncr:1_{691113C0-F0B5-4083-BD94-46AB334585B3}" xr6:coauthVersionLast="47" xr6:coauthVersionMax="47" xr10:uidLastSave="{00000000-0000-0000-0000-000000000000}"/>
  <bookViews>
    <workbookView xWindow="28680" yWindow="-120" windowWidth="21840" windowHeight="13020" activeTab="1" xr2:uid="{EC3DB532-1D1E-47D1-84C6-B60AFB32DD99}"/>
  </bookViews>
  <sheets>
    <sheet name="Lojas Leves" sheetId="3" r:id="rId1"/>
    <sheet name="% comissao" sheetId="4" r:id="rId2"/>
    <sheet name="Smart" sheetId="6" r:id="rId3"/>
    <sheet name="Operadores" sheetId="5" r:id="rId4"/>
    <sheet name="Consultore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L14" i="6" s="1"/>
  <c r="D15" i="6"/>
  <c r="D16" i="6"/>
  <c r="D17" i="6"/>
  <c r="D18" i="6"/>
  <c r="D19" i="6"/>
  <c r="D20" i="6"/>
  <c r="L20" i="6" s="1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" i="6"/>
  <c r="A3" i="6"/>
  <c r="B3" i="6"/>
  <c r="A4" i="6"/>
  <c r="B4" i="6"/>
  <c r="A5" i="6"/>
  <c r="B5" i="6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B2" i="6"/>
  <c r="A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" i="5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" i="1"/>
  <c r="C3" i="1"/>
  <c r="D3" i="1"/>
  <c r="E3" i="1"/>
  <c r="F3" i="1"/>
  <c r="G3" i="1"/>
  <c r="L3" i="1" s="1"/>
  <c r="H3" i="1"/>
  <c r="I3" i="1"/>
  <c r="J3" i="1"/>
  <c r="K3" i="1"/>
  <c r="C4" i="1"/>
  <c r="D4" i="1"/>
  <c r="E4" i="1"/>
  <c r="L4" i="1" s="1"/>
  <c r="F4" i="1"/>
  <c r="G4" i="1"/>
  <c r="H4" i="1"/>
  <c r="I4" i="1"/>
  <c r="J4" i="1"/>
  <c r="K4" i="1"/>
  <c r="C5" i="1"/>
  <c r="D5" i="1"/>
  <c r="E5" i="1"/>
  <c r="L5" i="1" s="1"/>
  <c r="F5" i="1"/>
  <c r="G5" i="1"/>
  <c r="H5" i="1"/>
  <c r="I5" i="1"/>
  <c r="J5" i="1"/>
  <c r="K5" i="1"/>
  <c r="C6" i="1"/>
  <c r="D6" i="1"/>
  <c r="E6" i="1"/>
  <c r="F6" i="1"/>
  <c r="G6" i="1"/>
  <c r="H6" i="1"/>
  <c r="I6" i="1"/>
  <c r="J6" i="1"/>
  <c r="K6" i="1"/>
  <c r="L6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L10" i="1" s="1"/>
  <c r="F10" i="1"/>
  <c r="G10" i="1"/>
  <c r="H10" i="1"/>
  <c r="I10" i="1"/>
  <c r="J10" i="1"/>
  <c r="K10" i="1"/>
  <c r="C11" i="1"/>
  <c r="D11" i="1"/>
  <c r="E11" i="1"/>
  <c r="L11" i="1" s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3" i="1"/>
  <c r="D13" i="1"/>
  <c r="E13" i="1"/>
  <c r="F13" i="1"/>
  <c r="G13" i="1"/>
  <c r="H13" i="1"/>
  <c r="I13" i="1"/>
  <c r="J13" i="1"/>
  <c r="K13" i="1"/>
  <c r="C14" i="1"/>
  <c r="D14" i="1"/>
  <c r="E14" i="1"/>
  <c r="F14" i="1"/>
  <c r="G14" i="1"/>
  <c r="L14" i="1" s="1"/>
  <c r="H14" i="1"/>
  <c r="I14" i="1"/>
  <c r="J14" i="1"/>
  <c r="K14" i="1"/>
  <c r="C15" i="1"/>
  <c r="L15" i="1" s="1"/>
  <c r="D15" i="1"/>
  <c r="E15" i="1"/>
  <c r="F15" i="1"/>
  <c r="G15" i="1"/>
  <c r="H15" i="1"/>
  <c r="I15" i="1"/>
  <c r="J15" i="1"/>
  <c r="K15" i="1"/>
  <c r="C16" i="1"/>
  <c r="D16" i="1"/>
  <c r="E16" i="1"/>
  <c r="L16" i="1" s="1"/>
  <c r="F16" i="1"/>
  <c r="G16" i="1"/>
  <c r="H16" i="1"/>
  <c r="I16" i="1"/>
  <c r="J16" i="1"/>
  <c r="K16" i="1"/>
  <c r="C17" i="1"/>
  <c r="L17" i="1" s="1"/>
  <c r="D17" i="1"/>
  <c r="E17" i="1"/>
  <c r="F17" i="1"/>
  <c r="G17" i="1"/>
  <c r="H17" i="1"/>
  <c r="I17" i="1"/>
  <c r="J17" i="1"/>
  <c r="K17" i="1"/>
  <c r="C18" i="1"/>
  <c r="D18" i="1"/>
  <c r="E18" i="1"/>
  <c r="F18" i="1"/>
  <c r="G18" i="1"/>
  <c r="H18" i="1"/>
  <c r="I18" i="1"/>
  <c r="J18" i="1"/>
  <c r="K18" i="1"/>
  <c r="C19" i="1"/>
  <c r="D19" i="1"/>
  <c r="E19" i="1"/>
  <c r="F19" i="1"/>
  <c r="G19" i="1"/>
  <c r="H19" i="1"/>
  <c r="I19" i="1"/>
  <c r="J19" i="1"/>
  <c r="K19" i="1"/>
  <c r="C20" i="1"/>
  <c r="D20" i="1"/>
  <c r="E20" i="1"/>
  <c r="F20" i="1"/>
  <c r="G20" i="1"/>
  <c r="H20" i="1"/>
  <c r="I20" i="1"/>
  <c r="J20" i="1"/>
  <c r="K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B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C3" i="5"/>
  <c r="L3" i="5" s="1"/>
  <c r="C4" i="5"/>
  <c r="C5" i="5"/>
  <c r="C6" i="5"/>
  <c r="C7" i="5"/>
  <c r="C8" i="5"/>
  <c r="C9" i="5"/>
  <c r="C10" i="5"/>
  <c r="L10" i="5" s="1"/>
  <c r="C11" i="5"/>
  <c r="L11" i="5" s="1"/>
  <c r="C12" i="5"/>
  <c r="C13" i="5"/>
  <c r="C14" i="5"/>
  <c r="C15" i="5"/>
  <c r="C16" i="5"/>
  <c r="C17" i="5"/>
  <c r="C18" i="5"/>
  <c r="L18" i="5" s="1"/>
  <c r="C19" i="5"/>
  <c r="L19" i="5" s="1"/>
  <c r="C20" i="5"/>
  <c r="D21" i="3"/>
  <c r="D2" i="5" s="1"/>
  <c r="E21" i="3"/>
  <c r="F21" i="3"/>
  <c r="G21" i="3"/>
  <c r="H21" i="3"/>
  <c r="I21" i="3"/>
  <c r="I2" i="5" s="1"/>
  <c r="J21" i="3"/>
  <c r="K21" i="3"/>
  <c r="K2" i="5" s="1"/>
  <c r="C21" i="3"/>
  <c r="L13" i="6" l="1"/>
  <c r="L12" i="6"/>
  <c r="L19" i="6"/>
  <c r="L11" i="6"/>
  <c r="L9" i="5"/>
  <c r="L15" i="5"/>
  <c r="L7" i="5"/>
  <c r="L18" i="6"/>
  <c r="L10" i="6"/>
  <c r="L16" i="5"/>
  <c r="L14" i="5"/>
  <c r="L20" i="1"/>
  <c r="L17" i="6"/>
  <c r="L9" i="6"/>
  <c r="L8" i="5"/>
  <c r="L6" i="5"/>
  <c r="L13" i="5"/>
  <c r="L5" i="5"/>
  <c r="L8" i="6"/>
  <c r="L17" i="5"/>
  <c r="L20" i="5"/>
  <c r="L12" i="5"/>
  <c r="L4" i="5"/>
  <c r="L15" i="6"/>
  <c r="L7" i="6"/>
  <c r="L13" i="1"/>
  <c r="L7" i="1"/>
  <c r="L6" i="6"/>
  <c r="L5" i="6"/>
  <c r="L4" i="6"/>
  <c r="L3" i="6"/>
  <c r="L16" i="6"/>
  <c r="C21" i="6"/>
  <c r="L8" i="1"/>
  <c r="L9" i="1"/>
  <c r="L12" i="1"/>
  <c r="L19" i="1"/>
  <c r="L18" i="1"/>
  <c r="K21" i="5"/>
  <c r="I21" i="5"/>
  <c r="D21" i="5"/>
  <c r="J21" i="6"/>
  <c r="J2" i="5"/>
  <c r="J21" i="5" s="1"/>
  <c r="G2" i="1"/>
  <c r="G21" i="1" s="1"/>
  <c r="G21" i="6"/>
  <c r="G2" i="5"/>
  <c r="G21" i="5" s="1"/>
  <c r="F2" i="1"/>
  <c r="F21" i="1" s="1"/>
  <c r="F21" i="6"/>
  <c r="F2" i="5"/>
  <c r="F21" i="5" s="1"/>
  <c r="H2" i="5"/>
  <c r="H21" i="5" s="1"/>
  <c r="H2" i="1"/>
  <c r="H21" i="1" s="1"/>
  <c r="H21" i="6"/>
  <c r="I21" i="6"/>
  <c r="I2" i="1"/>
  <c r="I21" i="1" s="1"/>
  <c r="C2" i="5"/>
  <c r="C21" i="5" s="1"/>
  <c r="C2" i="1"/>
  <c r="C21" i="1" s="1"/>
  <c r="E2" i="5"/>
  <c r="E21" i="5" s="1"/>
  <c r="E21" i="6"/>
  <c r="E2" i="1"/>
  <c r="E21" i="1" s="1"/>
  <c r="K2" i="1"/>
  <c r="K21" i="1" s="1"/>
  <c r="K21" i="6"/>
  <c r="J2" i="1"/>
  <c r="J21" i="1" s="1"/>
  <c r="D21" i="6"/>
  <c r="D2" i="1"/>
  <c r="D21" i="1" s="1"/>
  <c r="L2" i="5" l="1"/>
  <c r="L21" i="5" s="1"/>
  <c r="L2" i="6"/>
  <c r="L21" i="6" s="1"/>
  <c r="L2" i="1"/>
  <c r="L21" i="1" s="1"/>
  <c r="L24" i="6" l="1"/>
  <c r="L23" i="6"/>
</calcChain>
</file>

<file path=xl/sharedStrings.xml><?xml version="1.0" encoding="utf-8"?>
<sst xmlns="http://schemas.openxmlformats.org/spreadsheetml/2006/main" count="67" uniqueCount="23">
  <si>
    <t>ID</t>
  </si>
  <si>
    <t>Nome do Consultor</t>
  </si>
  <si>
    <t>Loja</t>
  </si>
  <si>
    <t>Mensalidade</t>
  </si>
  <si>
    <t>SPFv</t>
  </si>
  <si>
    <t>SPRenda</t>
  </si>
  <si>
    <t>SPRenda Premium</t>
  </si>
  <si>
    <t>DIA</t>
  </si>
  <si>
    <t>DIA Premium</t>
  </si>
  <si>
    <t>Garantia Full</t>
  </si>
  <si>
    <t>Garantia MC</t>
  </si>
  <si>
    <t>Consultor</t>
  </si>
  <si>
    <t>Operador</t>
  </si>
  <si>
    <t>Smart</t>
  </si>
  <si>
    <t>Total</t>
  </si>
  <si>
    <t>Cockpit</t>
  </si>
  <si>
    <t>2D MOTORS</t>
  </si>
  <si>
    <t>IMPACTO</t>
  </si>
  <si>
    <t>QUEIROZ</t>
  </si>
  <si>
    <t>LM VEICULOS</t>
  </si>
  <si>
    <t>Baía</t>
  </si>
  <si>
    <t>Delatorre</t>
  </si>
  <si>
    <t>PRODUTOS/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</si>
</sst>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9" fontId="2" fillId="0" borderId="1" xfId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164" fontId="2" fillId="2" borderId="0" xfId="0" applyNumberFormat="1" applyFont="1" applyFill="1" applyAlignment="1">
      <alignment horizontal="center"/>
    </xf>
    <xf numFmtId="164" fontId="2" fillId="0" borderId="1" xfId="0" applyNumberFormat="1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41EC-6F5A-4169-BDD2-0C6D36D69142}">
  <dimension ref="A1:K21"/>
  <sheetViews>
    <sheetView showGridLines="0" zoomScale="130" zoomScaleNormal="130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3" bestFit="1" customWidth="1"/>
    <col min="2" max="2" width="12.85546875" bestFit="1" customWidth="1"/>
    <col min="3" max="3" width="12.42578125" bestFit="1" customWidth="1"/>
    <col min="4" max="5" width="13.7109375" bestFit="1" customWidth="1"/>
    <col min="6" max="6" width="11.42578125" bestFit="1" customWidth="1"/>
    <col min="7" max="7" width="17.85546875" bestFit="1" customWidth="1"/>
    <col min="8" max="8" width="11.42578125" bestFit="1" customWidth="1"/>
    <col min="9" max="9" width="12.7109375" bestFit="1" customWidth="1"/>
    <col min="10" max="10" width="12.28515625" bestFit="1" customWidth="1"/>
    <col min="11" max="11" width="12" bestFit="1" customWidth="1"/>
  </cols>
  <sheetData>
    <row r="1" spans="1:11" x14ac:dyDescent="0.25">
      <c r="A1" s="9" t="s">
        <v>0</v>
      </c>
      <c r="B1" s="9" t="s">
        <v>2</v>
      </c>
      <c r="C1" s="9" t="s">
        <v>3</v>
      </c>
      <c r="D1" s="9" t="s">
        <v>15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25">
      <c r="A2" s="5">
        <v>1</v>
      </c>
      <c r="B2" s="5" t="s">
        <v>16</v>
      </c>
      <c r="C2" s="10">
        <v>0</v>
      </c>
      <c r="D2" s="10">
        <v>39157.33</v>
      </c>
      <c r="E2" s="10">
        <v>13458.81</v>
      </c>
      <c r="F2" s="10">
        <v>500</v>
      </c>
      <c r="G2" s="10">
        <v>990</v>
      </c>
      <c r="H2" s="10">
        <v>500</v>
      </c>
      <c r="I2" s="10">
        <v>0</v>
      </c>
      <c r="J2" s="11">
        <v>7</v>
      </c>
      <c r="K2" s="11">
        <v>8</v>
      </c>
    </row>
    <row r="3" spans="1:11" x14ac:dyDescent="0.25">
      <c r="A3" s="5">
        <v>2</v>
      </c>
      <c r="B3" s="5" t="s">
        <v>17</v>
      </c>
      <c r="C3" s="10">
        <v>750</v>
      </c>
      <c r="D3" s="10">
        <v>39157.33</v>
      </c>
      <c r="E3" s="10">
        <v>13458.81</v>
      </c>
      <c r="F3" s="10">
        <v>500</v>
      </c>
      <c r="G3" s="10">
        <v>990</v>
      </c>
      <c r="H3" s="10">
        <v>500</v>
      </c>
      <c r="I3" s="10">
        <v>0</v>
      </c>
      <c r="J3" s="11">
        <v>7</v>
      </c>
      <c r="K3" s="11">
        <v>3</v>
      </c>
    </row>
    <row r="4" spans="1:11" x14ac:dyDescent="0.25">
      <c r="A4" s="5">
        <v>3</v>
      </c>
      <c r="B4" s="5" t="s">
        <v>18</v>
      </c>
      <c r="C4" s="10">
        <v>750</v>
      </c>
      <c r="D4" s="10">
        <v>15000</v>
      </c>
      <c r="E4" s="10">
        <v>80000</v>
      </c>
      <c r="F4" s="10">
        <v>500</v>
      </c>
      <c r="G4" s="10">
        <v>990</v>
      </c>
      <c r="H4" s="10">
        <v>500</v>
      </c>
      <c r="I4" s="10">
        <v>790</v>
      </c>
      <c r="J4" s="11">
        <v>3</v>
      </c>
      <c r="K4" s="11">
        <v>2</v>
      </c>
    </row>
    <row r="5" spans="1:11" x14ac:dyDescent="0.25">
      <c r="A5" s="5">
        <v>4</v>
      </c>
      <c r="B5" s="5" t="s">
        <v>19</v>
      </c>
      <c r="C5" s="10">
        <v>1500</v>
      </c>
      <c r="D5" s="10">
        <v>20000</v>
      </c>
      <c r="E5" s="10">
        <v>10000</v>
      </c>
      <c r="F5" s="10">
        <v>500</v>
      </c>
      <c r="G5" s="10">
        <v>990</v>
      </c>
      <c r="H5" s="10">
        <v>500</v>
      </c>
      <c r="I5" s="10">
        <v>790</v>
      </c>
      <c r="J5" s="11">
        <v>5</v>
      </c>
      <c r="K5" s="11">
        <v>1</v>
      </c>
    </row>
    <row r="6" spans="1:11" x14ac:dyDescent="0.25">
      <c r="A6" s="5"/>
      <c r="B6" s="5"/>
      <c r="C6" s="10"/>
      <c r="D6" s="10"/>
      <c r="E6" s="10"/>
      <c r="F6" s="10"/>
      <c r="G6" s="10"/>
      <c r="H6" s="10"/>
      <c r="I6" s="10"/>
      <c r="J6" s="11"/>
      <c r="K6" s="11"/>
    </row>
    <row r="7" spans="1:11" x14ac:dyDescent="0.25">
      <c r="A7" s="5"/>
      <c r="B7" s="5"/>
      <c r="C7" s="10"/>
      <c r="D7" s="10"/>
      <c r="E7" s="10"/>
      <c r="F7" s="10"/>
      <c r="G7" s="10"/>
      <c r="H7" s="10"/>
      <c r="I7" s="10"/>
      <c r="J7" s="11"/>
      <c r="K7" s="11"/>
    </row>
    <row r="8" spans="1:11" x14ac:dyDescent="0.25">
      <c r="A8" s="5"/>
      <c r="B8" s="5"/>
      <c r="C8" s="10"/>
      <c r="D8" s="10"/>
      <c r="E8" s="10"/>
      <c r="F8" s="10"/>
      <c r="G8" s="10"/>
      <c r="H8" s="10"/>
      <c r="I8" s="10"/>
      <c r="J8" s="11"/>
      <c r="K8" s="11"/>
    </row>
    <row r="9" spans="1:11" x14ac:dyDescent="0.25">
      <c r="A9" s="5"/>
      <c r="B9" s="5"/>
      <c r="C9" s="10"/>
      <c r="D9" s="10"/>
      <c r="E9" s="10"/>
      <c r="F9" s="10"/>
      <c r="G9" s="10"/>
      <c r="H9" s="10"/>
      <c r="I9" s="10"/>
      <c r="J9" s="11"/>
      <c r="K9" s="11"/>
    </row>
    <row r="10" spans="1:11" x14ac:dyDescent="0.25">
      <c r="A10" s="5"/>
      <c r="B10" s="5"/>
      <c r="C10" s="10"/>
      <c r="D10" s="10"/>
      <c r="E10" s="10"/>
      <c r="F10" s="10"/>
      <c r="G10" s="10"/>
      <c r="H10" s="10"/>
      <c r="I10" s="10"/>
      <c r="J10" s="11"/>
      <c r="K10" s="11"/>
    </row>
    <row r="11" spans="1:11" x14ac:dyDescent="0.25">
      <c r="A11" s="5"/>
      <c r="B11" s="5"/>
      <c r="C11" s="10"/>
      <c r="D11" s="10"/>
      <c r="E11" s="10"/>
      <c r="F11" s="10"/>
      <c r="G11" s="10"/>
      <c r="H11" s="10"/>
      <c r="I11" s="10"/>
      <c r="J11" s="11"/>
      <c r="K11" s="11"/>
    </row>
    <row r="12" spans="1:11" x14ac:dyDescent="0.25">
      <c r="A12" s="5"/>
      <c r="B12" s="5"/>
      <c r="C12" s="10"/>
      <c r="D12" s="10"/>
      <c r="E12" s="10"/>
      <c r="F12" s="10"/>
      <c r="G12" s="10"/>
      <c r="H12" s="10"/>
      <c r="I12" s="10"/>
      <c r="J12" s="11"/>
      <c r="K12" s="11"/>
    </row>
    <row r="13" spans="1:11" x14ac:dyDescent="0.25">
      <c r="A13" s="5"/>
      <c r="B13" s="5"/>
      <c r="C13" s="10"/>
      <c r="D13" s="10"/>
      <c r="E13" s="10"/>
      <c r="F13" s="10"/>
      <c r="G13" s="10"/>
      <c r="H13" s="10"/>
      <c r="I13" s="10"/>
      <c r="J13" s="11"/>
      <c r="K13" s="11"/>
    </row>
    <row r="14" spans="1:11" x14ac:dyDescent="0.25">
      <c r="A14" s="5"/>
      <c r="B14" s="5"/>
      <c r="C14" s="10"/>
      <c r="D14" s="10"/>
      <c r="E14" s="10"/>
      <c r="F14" s="10"/>
      <c r="G14" s="10"/>
      <c r="H14" s="10"/>
      <c r="I14" s="10"/>
      <c r="J14" s="11"/>
      <c r="K14" s="11"/>
    </row>
    <row r="15" spans="1:11" x14ac:dyDescent="0.25">
      <c r="A15" s="5"/>
      <c r="B15" s="5"/>
      <c r="C15" s="10"/>
      <c r="D15" s="10"/>
      <c r="E15" s="10"/>
      <c r="F15" s="10"/>
      <c r="G15" s="10"/>
      <c r="H15" s="10"/>
      <c r="I15" s="10"/>
      <c r="J15" s="11"/>
      <c r="K15" s="11"/>
    </row>
    <row r="16" spans="1:11" x14ac:dyDescent="0.25">
      <c r="A16" s="5"/>
      <c r="B16" s="5"/>
      <c r="C16" s="10"/>
      <c r="D16" s="10"/>
      <c r="E16" s="10"/>
      <c r="F16" s="10"/>
      <c r="G16" s="10"/>
      <c r="H16" s="10"/>
      <c r="I16" s="10"/>
      <c r="J16" s="11"/>
      <c r="K16" s="11"/>
    </row>
    <row r="17" spans="1:11" x14ac:dyDescent="0.25">
      <c r="A17" s="5"/>
      <c r="B17" s="5"/>
      <c r="C17" s="10"/>
      <c r="D17" s="10"/>
      <c r="E17" s="10"/>
      <c r="F17" s="10"/>
      <c r="G17" s="10"/>
      <c r="H17" s="10"/>
      <c r="I17" s="10"/>
      <c r="J17" s="11"/>
      <c r="K17" s="11"/>
    </row>
    <row r="18" spans="1:11" x14ac:dyDescent="0.25">
      <c r="A18" s="5"/>
      <c r="B18" s="5"/>
      <c r="C18" s="10"/>
      <c r="D18" s="10"/>
      <c r="E18" s="10"/>
      <c r="F18" s="10"/>
      <c r="G18" s="10"/>
      <c r="H18" s="10"/>
      <c r="I18" s="10"/>
      <c r="J18" s="11"/>
      <c r="K18" s="11"/>
    </row>
    <row r="19" spans="1:11" x14ac:dyDescent="0.25">
      <c r="A19" s="5"/>
      <c r="B19" s="5"/>
      <c r="C19" s="10"/>
      <c r="D19" s="10"/>
      <c r="E19" s="10"/>
      <c r="F19" s="10"/>
      <c r="G19" s="10"/>
      <c r="H19" s="10"/>
      <c r="I19" s="10"/>
      <c r="J19" s="11"/>
      <c r="K19" s="11"/>
    </row>
    <row r="20" spans="1:11" x14ac:dyDescent="0.25">
      <c r="A20" s="5"/>
      <c r="B20" s="5"/>
      <c r="C20" s="10"/>
      <c r="D20" s="10"/>
      <c r="E20" s="10"/>
      <c r="F20" s="10"/>
      <c r="G20" s="10"/>
      <c r="H20" s="10"/>
      <c r="I20" s="10"/>
      <c r="J20" s="11"/>
      <c r="K20" s="11"/>
    </row>
    <row r="21" spans="1:11" x14ac:dyDescent="0.25">
      <c r="B21" t="s">
        <v>14</v>
      </c>
      <c r="C21" s="1">
        <f>SUM(C2:C20)</f>
        <v>3000</v>
      </c>
      <c r="D21" s="1">
        <f>SUM(D2:D20)</f>
        <v>113314.66</v>
      </c>
      <c r="E21" s="1">
        <f t="shared" ref="E21:K21" si="0">SUM(E2:E20)</f>
        <v>116917.62</v>
      </c>
      <c r="F21" s="1">
        <f t="shared" si="0"/>
        <v>2000</v>
      </c>
      <c r="G21" s="1">
        <f t="shared" si="0"/>
        <v>3960</v>
      </c>
      <c r="H21" s="1">
        <f t="shared" si="0"/>
        <v>2000</v>
      </c>
      <c r="I21" s="1">
        <f t="shared" si="0"/>
        <v>1580</v>
      </c>
      <c r="J21" s="2">
        <f t="shared" si="0"/>
        <v>22</v>
      </c>
      <c r="K21" s="2">
        <f t="shared" si="0"/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CAF8-2DE1-462C-BFDE-653050BEE0F1}">
  <dimension ref="A1:J5"/>
  <sheetViews>
    <sheetView showGridLines="0" tabSelected="1" zoomScale="110" zoomScaleNormal="110" workbookViewId="0">
      <selection activeCell="E9" sqref="E9"/>
    </sheetView>
  </sheetViews>
  <sheetFormatPr defaultRowHeight="15" x14ac:dyDescent="0.25"/>
  <cols>
    <col min="1" max="1" width="9.28515625" bestFit="1" customWidth="1"/>
    <col min="2" max="10" width="16.5703125" style="4" customWidth="1"/>
  </cols>
  <sheetData>
    <row r="1" spans="1:10" x14ac:dyDescent="0.25">
      <c r="C1" s="17" t="s">
        <v>22</v>
      </c>
      <c r="D1" s="18"/>
      <c r="E1" s="18"/>
      <c r="F1" s="18"/>
      <c r="G1" s="18"/>
      <c r="H1" s="18"/>
      <c r="I1" s="18"/>
      <c r="J1" s="19"/>
    </row>
    <row r="2" spans="1:10" x14ac:dyDescent="0.25">
      <c r="A2" s="4"/>
      <c r="B2" s="9" t="s">
        <v>3</v>
      </c>
      <c r="C2" s="9" t="s">
        <v>15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pans="1:10" x14ac:dyDescent="0.25">
      <c r="A3" s="5" t="s">
        <v>11</v>
      </c>
      <c r="B3" s="6">
        <v>0.05</v>
      </c>
      <c r="C3" s="12">
        <v>5.0000000000000001E-3</v>
      </c>
      <c r="D3" s="6">
        <v>0.02</v>
      </c>
      <c r="E3" s="6">
        <v>0.02</v>
      </c>
      <c r="F3" s="6">
        <v>0.02</v>
      </c>
      <c r="G3" s="6">
        <v>0.02</v>
      </c>
      <c r="H3" s="6">
        <v>0.02</v>
      </c>
      <c r="I3" s="7">
        <v>50</v>
      </c>
      <c r="J3" s="7">
        <v>25</v>
      </c>
    </row>
    <row r="4" spans="1:10" x14ac:dyDescent="0.25">
      <c r="A4" s="5" t="s">
        <v>12</v>
      </c>
      <c r="B4" s="6">
        <v>0.15</v>
      </c>
      <c r="C4" s="12">
        <v>2.5000000000000001E-2</v>
      </c>
      <c r="D4" s="6">
        <v>0.03</v>
      </c>
      <c r="E4" s="6">
        <v>0.03</v>
      </c>
      <c r="F4" s="6">
        <v>0.03</v>
      </c>
      <c r="G4" s="6">
        <v>0.03</v>
      </c>
      <c r="H4" s="6">
        <v>0.03</v>
      </c>
      <c r="I4" s="7">
        <v>100</v>
      </c>
      <c r="J4" s="7">
        <v>25</v>
      </c>
    </row>
    <row r="5" spans="1:10" x14ac:dyDescent="0.25">
      <c r="A5" s="5" t="s">
        <v>13</v>
      </c>
      <c r="B5" s="6">
        <v>0.8</v>
      </c>
      <c r="C5" s="12">
        <v>7.0000000000000007E-2</v>
      </c>
      <c r="D5" s="6">
        <v>0.2</v>
      </c>
      <c r="E5" s="6">
        <v>0.1</v>
      </c>
      <c r="F5" s="6">
        <v>0.1</v>
      </c>
      <c r="G5" s="6">
        <v>0.1</v>
      </c>
      <c r="H5" s="6">
        <v>0.1</v>
      </c>
      <c r="I5" s="7">
        <v>450</v>
      </c>
      <c r="J5" s="7">
        <v>350</v>
      </c>
    </row>
  </sheetData>
  <mergeCells count="1">
    <mergeCell ref="C1:J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1343-7F06-4486-91C4-AB6F01F48ABF}">
  <dimension ref="A1:L24"/>
  <sheetViews>
    <sheetView showGridLines="0" zoomScale="110" zoomScaleNormal="110" workbookViewId="0">
      <selection activeCell="I2" sqref="I2:I20"/>
    </sheetView>
  </sheetViews>
  <sheetFormatPr defaultRowHeight="15" x14ac:dyDescent="0.25"/>
  <cols>
    <col min="1" max="1" width="2.7109375" bestFit="1" customWidth="1"/>
    <col min="2" max="2" width="17.28515625" bestFit="1" customWidth="1"/>
    <col min="3" max="6" width="15.7109375" style="3" customWidth="1"/>
    <col min="7" max="7" width="16.7109375" style="3" bestFit="1" customWidth="1"/>
    <col min="8" max="11" width="15.7109375" style="3" customWidth="1"/>
    <col min="12" max="12" width="11.5703125" bestFit="1" customWidth="1"/>
  </cols>
  <sheetData>
    <row r="1" spans="1:12" x14ac:dyDescent="0.25">
      <c r="A1" s="13" t="s">
        <v>0</v>
      </c>
      <c r="B1" s="13" t="s">
        <v>1</v>
      </c>
      <c r="C1" s="8" t="s">
        <v>3</v>
      </c>
      <c r="D1" s="8" t="s">
        <v>15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14</v>
      </c>
    </row>
    <row r="2" spans="1:12" x14ac:dyDescent="0.25">
      <c r="A2" s="5">
        <f>'Lojas Leves'!A2</f>
        <v>1</v>
      </c>
      <c r="B2" s="5" t="str">
        <f>'Lojas Leves'!B2</f>
        <v>2D MOTORS</v>
      </c>
      <c r="C2" s="10">
        <f>'Lojas Leves'!C2*'% comissao'!$B$5</f>
        <v>0</v>
      </c>
      <c r="D2" s="10">
        <f>'Lojas Leves'!D2*'% comissao'!$C$5</f>
        <v>2741.0131000000006</v>
      </c>
      <c r="E2" s="10">
        <f>'Lojas Leves'!E2*'% comissao'!$D$5</f>
        <v>2691.7620000000002</v>
      </c>
      <c r="F2" s="10">
        <f>'Lojas Leves'!F2*'% comissao'!$E$5</f>
        <v>50</v>
      </c>
      <c r="G2" s="10">
        <f>'Lojas Leves'!G2*'% comissao'!$F$5</f>
        <v>99</v>
      </c>
      <c r="H2" s="10">
        <f>'Lojas Leves'!H2*'% comissao'!$G$5</f>
        <v>50</v>
      </c>
      <c r="I2" s="10">
        <f>'Lojas Leves'!I2*'% comissao'!$H$5</f>
        <v>0</v>
      </c>
      <c r="J2" s="10">
        <f>'Lojas Leves'!J2*'% comissao'!$I$5</f>
        <v>3150</v>
      </c>
      <c r="K2" s="10">
        <f>'Lojas Leves'!K2*'% comissao'!$J$5</f>
        <v>2800</v>
      </c>
      <c r="L2" s="14">
        <f>SUM(C2:K2)</f>
        <v>11581.775100000001</v>
      </c>
    </row>
    <row r="3" spans="1:12" x14ac:dyDescent="0.25">
      <c r="A3" s="5">
        <f>'Lojas Leves'!A3</f>
        <v>2</v>
      </c>
      <c r="B3" s="5" t="str">
        <f>'Lojas Leves'!B3</f>
        <v>IMPACTO</v>
      </c>
      <c r="C3" s="10">
        <f>'Lojas Leves'!C3*'% comissao'!$B$5</f>
        <v>600</v>
      </c>
      <c r="D3" s="10">
        <f>'Lojas Leves'!D3*'% comissao'!$C$5</f>
        <v>2741.0131000000006</v>
      </c>
      <c r="E3" s="10">
        <f>'Lojas Leves'!E3*'% comissao'!$D$5</f>
        <v>2691.7620000000002</v>
      </c>
      <c r="F3" s="10">
        <f>'Lojas Leves'!F3*'% comissao'!$E$5</f>
        <v>50</v>
      </c>
      <c r="G3" s="10">
        <f>'Lojas Leves'!G3*'% comissao'!$F$5</f>
        <v>99</v>
      </c>
      <c r="H3" s="10">
        <f>'Lojas Leves'!H3*'% comissao'!$G$5</f>
        <v>50</v>
      </c>
      <c r="I3" s="10">
        <f>'Lojas Leves'!I3*'% comissao'!$H$5</f>
        <v>0</v>
      </c>
      <c r="J3" s="10">
        <f>'Lojas Leves'!J3*'% comissao'!$I$5</f>
        <v>3150</v>
      </c>
      <c r="K3" s="10">
        <f>'Lojas Leves'!K3*'% comissao'!$J$5</f>
        <v>1050</v>
      </c>
      <c r="L3" s="14">
        <f t="shared" ref="L3:L20" si="0">SUM(C3:K3)</f>
        <v>10431.775100000001</v>
      </c>
    </row>
    <row r="4" spans="1:12" x14ac:dyDescent="0.25">
      <c r="A4" s="5">
        <f>'Lojas Leves'!A4</f>
        <v>3</v>
      </c>
      <c r="B4" s="5" t="str">
        <f>'Lojas Leves'!B4</f>
        <v>QUEIROZ</v>
      </c>
      <c r="C4" s="10">
        <f>'Lojas Leves'!C4*'% comissao'!$B$5</f>
        <v>600</v>
      </c>
      <c r="D4" s="10">
        <f>'Lojas Leves'!D4*'% comissao'!$C$5</f>
        <v>1050</v>
      </c>
      <c r="E4" s="10">
        <f>'Lojas Leves'!E4*'% comissao'!$D$5</f>
        <v>16000</v>
      </c>
      <c r="F4" s="10">
        <f>'Lojas Leves'!F4*'% comissao'!$E$5</f>
        <v>50</v>
      </c>
      <c r="G4" s="10">
        <f>'Lojas Leves'!G4*'% comissao'!$F$5</f>
        <v>99</v>
      </c>
      <c r="H4" s="10">
        <f>'Lojas Leves'!H4*'% comissao'!$G$5</f>
        <v>50</v>
      </c>
      <c r="I4" s="10">
        <f>'Lojas Leves'!I4*'% comissao'!$H$5</f>
        <v>79</v>
      </c>
      <c r="J4" s="10">
        <f>'Lojas Leves'!J4*'% comissao'!$I$5</f>
        <v>1350</v>
      </c>
      <c r="K4" s="10">
        <f>'Lojas Leves'!K4*'% comissao'!$J$5</f>
        <v>700</v>
      </c>
      <c r="L4" s="14">
        <f t="shared" si="0"/>
        <v>19978</v>
      </c>
    </row>
    <row r="5" spans="1:12" x14ac:dyDescent="0.25">
      <c r="A5" s="5">
        <f>'Lojas Leves'!A5</f>
        <v>4</v>
      </c>
      <c r="B5" s="5" t="str">
        <f>'Lojas Leves'!B5</f>
        <v>LM VEICULOS</v>
      </c>
      <c r="C5" s="10">
        <f>'Lojas Leves'!C5*'% comissao'!$B$5</f>
        <v>1200</v>
      </c>
      <c r="D5" s="10">
        <f>'Lojas Leves'!D5*'% comissao'!$C$5</f>
        <v>1400.0000000000002</v>
      </c>
      <c r="E5" s="10">
        <f>'Lojas Leves'!E5*'% comissao'!$D$5</f>
        <v>2000</v>
      </c>
      <c r="F5" s="10">
        <f>'Lojas Leves'!F5*'% comissao'!$E$5</f>
        <v>50</v>
      </c>
      <c r="G5" s="10">
        <f>'Lojas Leves'!G5*'% comissao'!$F$5</f>
        <v>99</v>
      </c>
      <c r="H5" s="10">
        <f>'Lojas Leves'!H5*'% comissao'!$G$5</f>
        <v>50</v>
      </c>
      <c r="I5" s="10">
        <f>'Lojas Leves'!I5*'% comissao'!$H$5</f>
        <v>79</v>
      </c>
      <c r="J5" s="10">
        <f>'Lojas Leves'!J5*'% comissao'!$I$5</f>
        <v>2250</v>
      </c>
      <c r="K5" s="10">
        <f>'Lojas Leves'!K5*'% comissao'!$J$5</f>
        <v>350</v>
      </c>
      <c r="L5" s="14">
        <f t="shared" si="0"/>
        <v>7478</v>
      </c>
    </row>
    <row r="6" spans="1:12" x14ac:dyDescent="0.25">
      <c r="A6" s="5">
        <f>'Lojas Leves'!A6</f>
        <v>0</v>
      </c>
      <c r="B6" s="5">
        <f>'Lojas Leves'!B6</f>
        <v>0</v>
      </c>
      <c r="C6" s="10">
        <f>'Lojas Leves'!C6*'% comissao'!$B$5</f>
        <v>0</v>
      </c>
      <c r="D6" s="10">
        <f>'Lojas Leves'!D6*'% comissao'!$C$5</f>
        <v>0</v>
      </c>
      <c r="E6" s="10">
        <f>'Lojas Leves'!E6*'% comissao'!$D$5</f>
        <v>0</v>
      </c>
      <c r="F6" s="10">
        <f>'Lojas Leves'!F6*'% comissao'!$E$5</f>
        <v>0</v>
      </c>
      <c r="G6" s="10">
        <f>'Lojas Leves'!G6*'% comissao'!$F$5</f>
        <v>0</v>
      </c>
      <c r="H6" s="10">
        <f>'Lojas Leves'!H6*'% comissao'!$G$5</f>
        <v>0</v>
      </c>
      <c r="I6" s="10">
        <f>'Lojas Leves'!I6*'% comissao'!$H$5</f>
        <v>0</v>
      </c>
      <c r="J6" s="10">
        <f>'Lojas Leves'!J6*'% comissao'!$I$5</f>
        <v>0</v>
      </c>
      <c r="K6" s="10">
        <f>'Lojas Leves'!K6*'% comissao'!$J$5</f>
        <v>0</v>
      </c>
      <c r="L6" s="14">
        <f t="shared" si="0"/>
        <v>0</v>
      </c>
    </row>
    <row r="7" spans="1:12" x14ac:dyDescent="0.25">
      <c r="A7" s="5">
        <f>'Lojas Leves'!A7</f>
        <v>0</v>
      </c>
      <c r="B7" s="5">
        <f>'Lojas Leves'!B7</f>
        <v>0</v>
      </c>
      <c r="C7" s="10">
        <f>'Lojas Leves'!C7*'% comissao'!$B$5</f>
        <v>0</v>
      </c>
      <c r="D7" s="10">
        <f>'Lojas Leves'!D7*'% comissao'!$C$5</f>
        <v>0</v>
      </c>
      <c r="E7" s="10">
        <f>'Lojas Leves'!E7*'% comissao'!$D$5</f>
        <v>0</v>
      </c>
      <c r="F7" s="10">
        <f>'Lojas Leves'!F7*'% comissao'!$E$5</f>
        <v>0</v>
      </c>
      <c r="G7" s="10">
        <f>'Lojas Leves'!G7*'% comissao'!$F$5</f>
        <v>0</v>
      </c>
      <c r="H7" s="10">
        <f>'Lojas Leves'!H7*'% comissao'!$G$5</f>
        <v>0</v>
      </c>
      <c r="I7" s="10">
        <f>'Lojas Leves'!I7*'% comissao'!$H$5</f>
        <v>0</v>
      </c>
      <c r="J7" s="10">
        <f>'Lojas Leves'!J7*'% comissao'!$I$5</f>
        <v>0</v>
      </c>
      <c r="K7" s="10">
        <f>'Lojas Leves'!K7*'% comissao'!$J$5</f>
        <v>0</v>
      </c>
      <c r="L7" s="14">
        <f t="shared" si="0"/>
        <v>0</v>
      </c>
    </row>
    <row r="8" spans="1:12" x14ac:dyDescent="0.25">
      <c r="A8" s="5">
        <f>'Lojas Leves'!A8</f>
        <v>0</v>
      </c>
      <c r="B8" s="5">
        <f>'Lojas Leves'!B8</f>
        <v>0</v>
      </c>
      <c r="C8" s="10">
        <f>'Lojas Leves'!C8*'% comissao'!$B$5</f>
        <v>0</v>
      </c>
      <c r="D8" s="10">
        <f>'Lojas Leves'!D8*'% comissao'!$C$5</f>
        <v>0</v>
      </c>
      <c r="E8" s="10">
        <f>'Lojas Leves'!E8*'% comissao'!$D$5</f>
        <v>0</v>
      </c>
      <c r="F8" s="10">
        <f>'Lojas Leves'!F8*'% comissao'!$E$5</f>
        <v>0</v>
      </c>
      <c r="G8" s="10">
        <f>'Lojas Leves'!G8*'% comissao'!$F$5</f>
        <v>0</v>
      </c>
      <c r="H8" s="10">
        <f>'Lojas Leves'!H8*'% comissao'!$G$5</f>
        <v>0</v>
      </c>
      <c r="I8" s="10">
        <f>'Lojas Leves'!I8*'% comissao'!$H$5</f>
        <v>0</v>
      </c>
      <c r="J8" s="10">
        <f>'Lojas Leves'!J8*'% comissao'!$I$5</f>
        <v>0</v>
      </c>
      <c r="K8" s="10">
        <f>'Lojas Leves'!K8*'% comissao'!$J$5</f>
        <v>0</v>
      </c>
      <c r="L8" s="14">
        <f t="shared" si="0"/>
        <v>0</v>
      </c>
    </row>
    <row r="9" spans="1:12" x14ac:dyDescent="0.25">
      <c r="A9" s="5">
        <f>'Lojas Leves'!A9</f>
        <v>0</v>
      </c>
      <c r="B9" s="5">
        <f>'Lojas Leves'!B9</f>
        <v>0</v>
      </c>
      <c r="C9" s="10">
        <f>'Lojas Leves'!C9*'% comissao'!$B$5</f>
        <v>0</v>
      </c>
      <c r="D9" s="10">
        <f>'Lojas Leves'!D9*'% comissao'!$C$5</f>
        <v>0</v>
      </c>
      <c r="E9" s="10">
        <f>'Lojas Leves'!E9*'% comissao'!$D$5</f>
        <v>0</v>
      </c>
      <c r="F9" s="10">
        <f>'Lojas Leves'!F9*'% comissao'!$E$5</f>
        <v>0</v>
      </c>
      <c r="G9" s="10">
        <f>'Lojas Leves'!G9*'% comissao'!$F$5</f>
        <v>0</v>
      </c>
      <c r="H9" s="10">
        <f>'Lojas Leves'!H9*'% comissao'!$G$5</f>
        <v>0</v>
      </c>
      <c r="I9" s="10">
        <f>'Lojas Leves'!I9*'% comissao'!$H$5</f>
        <v>0</v>
      </c>
      <c r="J9" s="10">
        <f>'Lojas Leves'!J9*'% comissao'!$I$5</f>
        <v>0</v>
      </c>
      <c r="K9" s="10">
        <f>'Lojas Leves'!K9*'% comissao'!$J$5</f>
        <v>0</v>
      </c>
      <c r="L9" s="14">
        <f t="shared" si="0"/>
        <v>0</v>
      </c>
    </row>
    <row r="10" spans="1:12" x14ac:dyDescent="0.25">
      <c r="A10" s="5">
        <f>'Lojas Leves'!A10</f>
        <v>0</v>
      </c>
      <c r="B10" s="5">
        <f>'Lojas Leves'!B10</f>
        <v>0</v>
      </c>
      <c r="C10" s="10">
        <f>'Lojas Leves'!C10*'% comissao'!$B$5</f>
        <v>0</v>
      </c>
      <c r="D10" s="10">
        <f>'Lojas Leves'!D10*'% comissao'!$C$5</f>
        <v>0</v>
      </c>
      <c r="E10" s="10">
        <f>'Lojas Leves'!E10*'% comissao'!$D$5</f>
        <v>0</v>
      </c>
      <c r="F10" s="10">
        <f>'Lojas Leves'!F10*'% comissao'!$E$5</f>
        <v>0</v>
      </c>
      <c r="G10" s="10">
        <f>'Lojas Leves'!G10*'% comissao'!$F$5</f>
        <v>0</v>
      </c>
      <c r="H10" s="10">
        <f>'Lojas Leves'!H10*'% comissao'!$G$5</f>
        <v>0</v>
      </c>
      <c r="I10" s="10">
        <f>'Lojas Leves'!I10*'% comissao'!$H$5</f>
        <v>0</v>
      </c>
      <c r="J10" s="10">
        <f>'Lojas Leves'!J10*'% comissao'!$I$5</f>
        <v>0</v>
      </c>
      <c r="K10" s="10">
        <f>'Lojas Leves'!K10*'% comissao'!$J$5</f>
        <v>0</v>
      </c>
      <c r="L10" s="14">
        <f t="shared" si="0"/>
        <v>0</v>
      </c>
    </row>
    <row r="11" spans="1:12" x14ac:dyDescent="0.25">
      <c r="A11" s="5">
        <f>'Lojas Leves'!A11</f>
        <v>0</v>
      </c>
      <c r="B11" s="5">
        <f>'Lojas Leves'!B11</f>
        <v>0</v>
      </c>
      <c r="C11" s="10">
        <f>'Lojas Leves'!C11*'% comissao'!$B$5</f>
        <v>0</v>
      </c>
      <c r="D11" s="10">
        <f>'Lojas Leves'!D11*'% comissao'!$C$5</f>
        <v>0</v>
      </c>
      <c r="E11" s="10">
        <f>'Lojas Leves'!E11*'% comissao'!$D$5</f>
        <v>0</v>
      </c>
      <c r="F11" s="10">
        <f>'Lojas Leves'!F11*'% comissao'!$E$5</f>
        <v>0</v>
      </c>
      <c r="G11" s="10">
        <f>'Lojas Leves'!G11*'% comissao'!$F$5</f>
        <v>0</v>
      </c>
      <c r="H11" s="10">
        <f>'Lojas Leves'!H11*'% comissao'!$G$5</f>
        <v>0</v>
      </c>
      <c r="I11" s="10">
        <f>'Lojas Leves'!I11*'% comissao'!$H$5</f>
        <v>0</v>
      </c>
      <c r="J11" s="10">
        <f>'Lojas Leves'!J11*'% comissao'!$I$5</f>
        <v>0</v>
      </c>
      <c r="K11" s="10">
        <f>'Lojas Leves'!K11*'% comissao'!$J$5</f>
        <v>0</v>
      </c>
      <c r="L11" s="14">
        <f t="shared" si="0"/>
        <v>0</v>
      </c>
    </row>
    <row r="12" spans="1:12" x14ac:dyDescent="0.25">
      <c r="A12" s="5">
        <f>'Lojas Leves'!A12</f>
        <v>0</v>
      </c>
      <c r="B12" s="5">
        <f>'Lojas Leves'!B12</f>
        <v>0</v>
      </c>
      <c r="C12" s="10">
        <f>'Lojas Leves'!C12*'% comissao'!$B$5</f>
        <v>0</v>
      </c>
      <c r="D12" s="10">
        <f>'Lojas Leves'!D12*'% comissao'!$C$5</f>
        <v>0</v>
      </c>
      <c r="E12" s="10">
        <f>'Lojas Leves'!E12*'% comissao'!$D$5</f>
        <v>0</v>
      </c>
      <c r="F12" s="10">
        <f>'Lojas Leves'!F12*'% comissao'!$E$5</f>
        <v>0</v>
      </c>
      <c r="G12" s="10">
        <f>'Lojas Leves'!G12*'% comissao'!$F$5</f>
        <v>0</v>
      </c>
      <c r="H12" s="10">
        <f>'Lojas Leves'!H12*'% comissao'!$G$5</f>
        <v>0</v>
      </c>
      <c r="I12" s="10">
        <f>'Lojas Leves'!I12*'% comissao'!$H$5</f>
        <v>0</v>
      </c>
      <c r="J12" s="10">
        <f>'Lojas Leves'!J12*'% comissao'!$I$5</f>
        <v>0</v>
      </c>
      <c r="K12" s="10">
        <f>'Lojas Leves'!K12*'% comissao'!$J$5</f>
        <v>0</v>
      </c>
      <c r="L12" s="14">
        <f t="shared" si="0"/>
        <v>0</v>
      </c>
    </row>
    <row r="13" spans="1:12" x14ac:dyDescent="0.25">
      <c r="A13" s="5">
        <f>'Lojas Leves'!A13</f>
        <v>0</v>
      </c>
      <c r="B13" s="5">
        <f>'Lojas Leves'!B13</f>
        <v>0</v>
      </c>
      <c r="C13" s="10">
        <f>'Lojas Leves'!C13*'% comissao'!$B$5</f>
        <v>0</v>
      </c>
      <c r="D13" s="10">
        <f>'Lojas Leves'!D13*'% comissao'!$C$5</f>
        <v>0</v>
      </c>
      <c r="E13" s="10">
        <f>'Lojas Leves'!E13*'% comissao'!$D$5</f>
        <v>0</v>
      </c>
      <c r="F13" s="10">
        <f>'Lojas Leves'!F13*'% comissao'!$E$5</f>
        <v>0</v>
      </c>
      <c r="G13" s="10">
        <f>'Lojas Leves'!G13*'% comissao'!$F$5</f>
        <v>0</v>
      </c>
      <c r="H13" s="10">
        <f>'Lojas Leves'!H13*'% comissao'!$G$5</f>
        <v>0</v>
      </c>
      <c r="I13" s="10">
        <f>'Lojas Leves'!I13*'% comissao'!$H$5</f>
        <v>0</v>
      </c>
      <c r="J13" s="10">
        <f>'Lojas Leves'!J13*'% comissao'!$I$5</f>
        <v>0</v>
      </c>
      <c r="K13" s="10">
        <f>'Lojas Leves'!K13*'% comissao'!$J$5</f>
        <v>0</v>
      </c>
      <c r="L13" s="14">
        <f t="shared" si="0"/>
        <v>0</v>
      </c>
    </row>
    <row r="14" spans="1:12" x14ac:dyDescent="0.25">
      <c r="A14" s="5">
        <f>'Lojas Leves'!A14</f>
        <v>0</v>
      </c>
      <c r="B14" s="5">
        <f>'Lojas Leves'!B14</f>
        <v>0</v>
      </c>
      <c r="C14" s="10">
        <f>'Lojas Leves'!C14*'% comissao'!$B$5</f>
        <v>0</v>
      </c>
      <c r="D14" s="10">
        <f>'Lojas Leves'!D14*'% comissao'!$C$5</f>
        <v>0</v>
      </c>
      <c r="E14" s="10">
        <f>'Lojas Leves'!E14*'% comissao'!$D$5</f>
        <v>0</v>
      </c>
      <c r="F14" s="10">
        <f>'Lojas Leves'!F14*'% comissao'!$E$5</f>
        <v>0</v>
      </c>
      <c r="G14" s="10">
        <f>'Lojas Leves'!G14*'% comissao'!$F$5</f>
        <v>0</v>
      </c>
      <c r="H14" s="10">
        <f>'Lojas Leves'!H14*'% comissao'!$G$5</f>
        <v>0</v>
      </c>
      <c r="I14" s="10">
        <f>'Lojas Leves'!I14*'% comissao'!$H$5</f>
        <v>0</v>
      </c>
      <c r="J14" s="10">
        <f>'Lojas Leves'!J14*'% comissao'!$I$5</f>
        <v>0</v>
      </c>
      <c r="K14" s="10">
        <f>'Lojas Leves'!K14*'% comissao'!$J$5</f>
        <v>0</v>
      </c>
      <c r="L14" s="14">
        <f t="shared" si="0"/>
        <v>0</v>
      </c>
    </row>
    <row r="15" spans="1:12" x14ac:dyDescent="0.25">
      <c r="A15" s="5">
        <f>'Lojas Leves'!A15</f>
        <v>0</v>
      </c>
      <c r="B15" s="5">
        <f>'Lojas Leves'!B15</f>
        <v>0</v>
      </c>
      <c r="C15" s="10">
        <f>'Lojas Leves'!C15*'% comissao'!$B$5</f>
        <v>0</v>
      </c>
      <c r="D15" s="10">
        <f>'Lojas Leves'!D15*'% comissao'!$C$5</f>
        <v>0</v>
      </c>
      <c r="E15" s="10">
        <f>'Lojas Leves'!E15*'% comissao'!$D$5</f>
        <v>0</v>
      </c>
      <c r="F15" s="10">
        <f>'Lojas Leves'!F15*'% comissao'!$E$5</f>
        <v>0</v>
      </c>
      <c r="G15" s="10">
        <f>'Lojas Leves'!G15*'% comissao'!$F$5</f>
        <v>0</v>
      </c>
      <c r="H15" s="10">
        <f>'Lojas Leves'!H15*'% comissao'!$G$5</f>
        <v>0</v>
      </c>
      <c r="I15" s="10">
        <f>'Lojas Leves'!I15*'% comissao'!$H$5</f>
        <v>0</v>
      </c>
      <c r="J15" s="10">
        <f>'Lojas Leves'!J15*'% comissao'!$I$5</f>
        <v>0</v>
      </c>
      <c r="K15" s="10">
        <f>'Lojas Leves'!K15*'% comissao'!$J$5</f>
        <v>0</v>
      </c>
      <c r="L15" s="14">
        <f t="shared" si="0"/>
        <v>0</v>
      </c>
    </row>
    <row r="16" spans="1:12" x14ac:dyDescent="0.25">
      <c r="A16" s="5">
        <f>'Lojas Leves'!A16</f>
        <v>0</v>
      </c>
      <c r="B16" s="5">
        <f>'Lojas Leves'!B16</f>
        <v>0</v>
      </c>
      <c r="C16" s="10">
        <f>'Lojas Leves'!C16*'% comissao'!$B$5</f>
        <v>0</v>
      </c>
      <c r="D16" s="10">
        <f>'Lojas Leves'!D16*'% comissao'!$C$5</f>
        <v>0</v>
      </c>
      <c r="E16" s="10">
        <f>'Lojas Leves'!E16*'% comissao'!$D$5</f>
        <v>0</v>
      </c>
      <c r="F16" s="10">
        <f>'Lojas Leves'!F16*'% comissao'!$E$5</f>
        <v>0</v>
      </c>
      <c r="G16" s="10">
        <f>'Lojas Leves'!G16*'% comissao'!$F$5</f>
        <v>0</v>
      </c>
      <c r="H16" s="10">
        <f>'Lojas Leves'!H16*'% comissao'!$G$5</f>
        <v>0</v>
      </c>
      <c r="I16" s="10">
        <f>'Lojas Leves'!I16*'% comissao'!$H$5</f>
        <v>0</v>
      </c>
      <c r="J16" s="10">
        <f>'Lojas Leves'!J16*'% comissao'!$I$5</f>
        <v>0</v>
      </c>
      <c r="K16" s="10">
        <f>'Lojas Leves'!K16*'% comissao'!$J$5</f>
        <v>0</v>
      </c>
      <c r="L16" s="14">
        <f t="shared" si="0"/>
        <v>0</v>
      </c>
    </row>
    <row r="17" spans="1:12" x14ac:dyDescent="0.25">
      <c r="A17" s="5">
        <f>'Lojas Leves'!A17</f>
        <v>0</v>
      </c>
      <c r="B17" s="5">
        <f>'Lojas Leves'!B17</f>
        <v>0</v>
      </c>
      <c r="C17" s="10">
        <f>'Lojas Leves'!C17*'% comissao'!$B$5</f>
        <v>0</v>
      </c>
      <c r="D17" s="10">
        <f>'Lojas Leves'!D17*'% comissao'!$C$5</f>
        <v>0</v>
      </c>
      <c r="E17" s="10">
        <f>'Lojas Leves'!E17*'% comissao'!$D$5</f>
        <v>0</v>
      </c>
      <c r="F17" s="10">
        <f>'Lojas Leves'!F17*'% comissao'!$E$5</f>
        <v>0</v>
      </c>
      <c r="G17" s="10">
        <f>'Lojas Leves'!G17*'% comissao'!$F$5</f>
        <v>0</v>
      </c>
      <c r="H17" s="10">
        <f>'Lojas Leves'!H17*'% comissao'!$G$5</f>
        <v>0</v>
      </c>
      <c r="I17" s="10">
        <f>'Lojas Leves'!I17*'% comissao'!$H$5</f>
        <v>0</v>
      </c>
      <c r="J17" s="10">
        <f>'Lojas Leves'!J17*'% comissao'!$I$5</f>
        <v>0</v>
      </c>
      <c r="K17" s="10">
        <f>'Lojas Leves'!K17*'% comissao'!$J$5</f>
        <v>0</v>
      </c>
      <c r="L17" s="14">
        <f t="shared" si="0"/>
        <v>0</v>
      </c>
    </row>
    <row r="18" spans="1:12" x14ac:dyDescent="0.25">
      <c r="A18" s="5">
        <f>'Lojas Leves'!A18</f>
        <v>0</v>
      </c>
      <c r="B18" s="5">
        <f>'Lojas Leves'!B18</f>
        <v>0</v>
      </c>
      <c r="C18" s="10">
        <f>'Lojas Leves'!C18*'% comissao'!$B$5</f>
        <v>0</v>
      </c>
      <c r="D18" s="10">
        <f>'Lojas Leves'!D18*'% comissao'!$C$5</f>
        <v>0</v>
      </c>
      <c r="E18" s="10">
        <f>'Lojas Leves'!E18*'% comissao'!$D$5</f>
        <v>0</v>
      </c>
      <c r="F18" s="10">
        <f>'Lojas Leves'!F18*'% comissao'!$E$5</f>
        <v>0</v>
      </c>
      <c r="G18" s="10">
        <f>'Lojas Leves'!G18*'% comissao'!$F$5</f>
        <v>0</v>
      </c>
      <c r="H18" s="10">
        <f>'Lojas Leves'!H18*'% comissao'!$G$5</f>
        <v>0</v>
      </c>
      <c r="I18" s="10">
        <f>'Lojas Leves'!I18*'% comissao'!$H$5</f>
        <v>0</v>
      </c>
      <c r="J18" s="10">
        <f>'Lojas Leves'!J18*'% comissao'!$I$5</f>
        <v>0</v>
      </c>
      <c r="K18" s="10">
        <f>'Lojas Leves'!K18*'% comissao'!$J$5</f>
        <v>0</v>
      </c>
      <c r="L18" s="14">
        <f t="shared" si="0"/>
        <v>0</v>
      </c>
    </row>
    <row r="19" spans="1:12" x14ac:dyDescent="0.25">
      <c r="A19" s="5">
        <f>'Lojas Leves'!A19</f>
        <v>0</v>
      </c>
      <c r="B19" s="5">
        <f>'Lojas Leves'!B19</f>
        <v>0</v>
      </c>
      <c r="C19" s="10">
        <f>'Lojas Leves'!C19*'% comissao'!$B$5</f>
        <v>0</v>
      </c>
      <c r="D19" s="10">
        <f>'Lojas Leves'!D19*'% comissao'!$C$5</f>
        <v>0</v>
      </c>
      <c r="E19" s="10">
        <f>'Lojas Leves'!E19*'% comissao'!$D$5</f>
        <v>0</v>
      </c>
      <c r="F19" s="10">
        <f>'Lojas Leves'!F19*'% comissao'!$E$5</f>
        <v>0</v>
      </c>
      <c r="G19" s="10">
        <f>'Lojas Leves'!G19*'% comissao'!$F$5</f>
        <v>0</v>
      </c>
      <c r="H19" s="10">
        <f>'Lojas Leves'!H19*'% comissao'!$G$5</f>
        <v>0</v>
      </c>
      <c r="I19" s="10">
        <f>'Lojas Leves'!I19*'% comissao'!$H$5</f>
        <v>0</v>
      </c>
      <c r="J19" s="10">
        <f>'Lojas Leves'!J19*'% comissao'!$I$5</f>
        <v>0</v>
      </c>
      <c r="K19" s="10">
        <f>'Lojas Leves'!K19*'% comissao'!$J$5</f>
        <v>0</v>
      </c>
      <c r="L19" s="14">
        <f t="shared" si="0"/>
        <v>0</v>
      </c>
    </row>
    <row r="20" spans="1:12" x14ac:dyDescent="0.25">
      <c r="A20" s="5">
        <f>'Lojas Leves'!A20</f>
        <v>0</v>
      </c>
      <c r="B20" s="5">
        <f>'Lojas Leves'!B20</f>
        <v>0</v>
      </c>
      <c r="C20" s="10">
        <f>'Lojas Leves'!C20*'% comissao'!$B$5</f>
        <v>0</v>
      </c>
      <c r="D20" s="10">
        <f>'Lojas Leves'!D20*'% comissao'!$C$5</f>
        <v>0</v>
      </c>
      <c r="E20" s="10">
        <f>'Lojas Leves'!E20*'% comissao'!$D$5</f>
        <v>0</v>
      </c>
      <c r="F20" s="10">
        <f>'Lojas Leves'!F20*'% comissao'!$E$5</f>
        <v>0</v>
      </c>
      <c r="G20" s="10">
        <f>'Lojas Leves'!G20*'% comissao'!$F$5</f>
        <v>0</v>
      </c>
      <c r="H20" s="10">
        <f>'Lojas Leves'!H20*'% comissao'!$G$5</f>
        <v>0</v>
      </c>
      <c r="I20" s="10">
        <f>'Lojas Leves'!I20*'% comissao'!$H$5</f>
        <v>0</v>
      </c>
      <c r="J20" s="10">
        <f>'Lojas Leves'!J20*'% comissao'!$I$5</f>
        <v>0</v>
      </c>
      <c r="K20" s="10">
        <f>'Lojas Leves'!K20*'% comissao'!$J$5</f>
        <v>0</v>
      </c>
      <c r="L20" s="14">
        <f t="shared" si="0"/>
        <v>0</v>
      </c>
    </row>
    <row r="21" spans="1:12" x14ac:dyDescent="0.25">
      <c r="C21" s="15">
        <f t="shared" ref="C21:L21" si="1">SUM(C2:C20)</f>
        <v>2400</v>
      </c>
      <c r="D21" s="15">
        <f t="shared" si="1"/>
        <v>7932.0262000000012</v>
      </c>
      <c r="E21" s="15">
        <f t="shared" si="1"/>
        <v>23383.524000000001</v>
      </c>
      <c r="F21" s="15">
        <f t="shared" si="1"/>
        <v>200</v>
      </c>
      <c r="G21" s="15">
        <f t="shared" si="1"/>
        <v>396</v>
      </c>
      <c r="H21" s="15">
        <f t="shared" si="1"/>
        <v>200</v>
      </c>
      <c r="I21" s="15">
        <f t="shared" si="1"/>
        <v>158</v>
      </c>
      <c r="J21" s="15">
        <f t="shared" si="1"/>
        <v>9900</v>
      </c>
      <c r="K21" s="15">
        <f t="shared" si="1"/>
        <v>4900</v>
      </c>
      <c r="L21" s="15">
        <f t="shared" si="1"/>
        <v>49469.550199999998</v>
      </c>
    </row>
    <row r="23" spans="1:12" x14ac:dyDescent="0.25">
      <c r="K23" s="8" t="s">
        <v>20</v>
      </c>
      <c r="L23" s="16">
        <f>L21/2</f>
        <v>24734.775099999999</v>
      </c>
    </row>
    <row r="24" spans="1:12" x14ac:dyDescent="0.25">
      <c r="K24" s="8" t="s">
        <v>21</v>
      </c>
      <c r="L24" s="16">
        <f>L21/2</f>
        <v>24734.775099999999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E760-B7F9-4616-ADBF-8683FA03D639}">
  <dimension ref="A1:L21"/>
  <sheetViews>
    <sheetView showGridLines="0" zoomScale="110" zoomScaleNormal="110" workbookViewId="0">
      <selection activeCell="B2" sqref="B2:B20"/>
    </sheetView>
  </sheetViews>
  <sheetFormatPr defaultRowHeight="15" x14ac:dyDescent="0.25"/>
  <cols>
    <col min="1" max="1" width="2.7109375" bestFit="1" customWidth="1"/>
    <col min="2" max="2" width="17.28515625" bestFit="1" customWidth="1"/>
    <col min="3" max="11" width="15.7109375" style="3" customWidth="1"/>
    <col min="12" max="12" width="11.5703125" bestFit="1" customWidth="1"/>
  </cols>
  <sheetData>
    <row r="1" spans="1:12" x14ac:dyDescent="0.25">
      <c r="A1" s="13" t="s">
        <v>0</v>
      </c>
      <c r="B1" s="13" t="s">
        <v>1</v>
      </c>
      <c r="C1" s="8" t="s">
        <v>3</v>
      </c>
      <c r="D1" s="8" t="s">
        <v>15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14</v>
      </c>
    </row>
    <row r="2" spans="1:12" x14ac:dyDescent="0.25">
      <c r="A2" s="5">
        <f>'Lojas Leves'!A2</f>
        <v>1</v>
      </c>
      <c r="B2" s="5" t="str">
        <f>'Lojas Leves'!B2</f>
        <v>2D MOTORS</v>
      </c>
      <c r="C2" s="10">
        <f>'Lojas Leves'!C21*'% comissao'!B4</f>
        <v>450</v>
      </c>
      <c r="D2" s="10">
        <f>'Lojas Leves'!D21*'% comissao'!C4</f>
        <v>2832.8665000000001</v>
      </c>
      <c r="E2" s="10">
        <f>'Lojas Leves'!E21*'% comissao'!D4</f>
        <v>3507.5285999999996</v>
      </c>
      <c r="F2" s="10">
        <f>'Lojas Leves'!F21*'% comissao'!E4</f>
        <v>60</v>
      </c>
      <c r="G2" s="10">
        <f>'Lojas Leves'!G21*'% comissao'!F4</f>
        <v>118.8</v>
      </c>
      <c r="H2" s="10">
        <f>'Lojas Leves'!H21*'% comissao'!G4</f>
        <v>60</v>
      </c>
      <c r="I2" s="10">
        <f>'Lojas Leves'!I21*'% comissao'!H4</f>
        <v>47.4</v>
      </c>
      <c r="J2" s="10">
        <f>'Lojas Leves'!J21*'% comissao'!I4</f>
        <v>2200</v>
      </c>
      <c r="K2" s="10">
        <f>'Lojas Leves'!K21*'% comissao'!J4</f>
        <v>350</v>
      </c>
      <c r="L2" s="16">
        <f>SUM(C2:K2)</f>
        <v>9626.5950999999986</v>
      </c>
    </row>
    <row r="3" spans="1:12" x14ac:dyDescent="0.25">
      <c r="A3" s="5">
        <f>'Lojas Leves'!A3</f>
        <v>2</v>
      </c>
      <c r="B3" s="5" t="str">
        <f>'Lojas Leves'!B3</f>
        <v>IMPACTO</v>
      </c>
      <c r="C3" s="10">
        <f>'Lojas Leves'!C22*'% comissao'!B5</f>
        <v>0</v>
      </c>
      <c r="D3" s="10">
        <f>'Lojas Leves'!D22*'% comissao'!C5</f>
        <v>0</v>
      </c>
      <c r="E3" s="10">
        <f>'Lojas Leves'!E22*'% comissao'!D5</f>
        <v>0</v>
      </c>
      <c r="F3" s="10">
        <f>'Lojas Leves'!F22*'% comissao'!E5</f>
        <v>0</v>
      </c>
      <c r="G3" s="10">
        <f>'Lojas Leves'!G22*'% comissao'!F5</f>
        <v>0</v>
      </c>
      <c r="H3" s="10">
        <f>'Lojas Leves'!H22*'% comissao'!G5</f>
        <v>0</v>
      </c>
      <c r="I3" s="10">
        <f>'Lojas Leves'!I22*'% comissao'!H5</f>
        <v>0</v>
      </c>
      <c r="J3" s="10">
        <f>'Lojas Leves'!J22*'% comissao'!I5</f>
        <v>0</v>
      </c>
      <c r="K3" s="10">
        <f>'Lojas Leves'!K22*'% comissao'!J5</f>
        <v>0</v>
      </c>
      <c r="L3" s="16">
        <f t="shared" ref="L3:L20" si="0">SUM(C3:K3)</f>
        <v>0</v>
      </c>
    </row>
    <row r="4" spans="1:12" x14ac:dyDescent="0.25">
      <c r="A4" s="5">
        <f>'Lojas Leves'!A4</f>
        <v>3</v>
      </c>
      <c r="B4" s="5" t="str">
        <f>'Lojas Leves'!B4</f>
        <v>QUEIROZ</v>
      </c>
      <c r="C4" s="10">
        <f>'Lojas Leves'!C23*'% comissao'!B6</f>
        <v>0</v>
      </c>
      <c r="D4" s="10">
        <f>'Lojas Leves'!D23*'% comissao'!C6</f>
        <v>0</v>
      </c>
      <c r="E4" s="10">
        <f>'Lojas Leves'!E23*'% comissao'!D6</f>
        <v>0</v>
      </c>
      <c r="F4" s="10">
        <f>'Lojas Leves'!F23*'% comissao'!E6</f>
        <v>0</v>
      </c>
      <c r="G4" s="10">
        <f>'Lojas Leves'!G23*'% comissao'!F6</f>
        <v>0</v>
      </c>
      <c r="H4" s="10">
        <f>'Lojas Leves'!H23*'% comissao'!G6</f>
        <v>0</v>
      </c>
      <c r="I4" s="10">
        <f>'Lojas Leves'!I23*'% comissao'!H6</f>
        <v>0</v>
      </c>
      <c r="J4" s="10">
        <f>'Lojas Leves'!J23*'% comissao'!I6</f>
        <v>0</v>
      </c>
      <c r="K4" s="10">
        <f>'Lojas Leves'!K23*'% comissao'!J6</f>
        <v>0</v>
      </c>
      <c r="L4" s="16">
        <f t="shared" si="0"/>
        <v>0</v>
      </c>
    </row>
    <row r="5" spans="1:12" x14ac:dyDescent="0.25">
      <c r="A5" s="5">
        <f>'Lojas Leves'!A5</f>
        <v>4</v>
      </c>
      <c r="B5" s="5" t="str">
        <f>'Lojas Leves'!B5</f>
        <v>LM VEICULOS</v>
      </c>
      <c r="C5" s="10">
        <f>'Lojas Leves'!C24*'% comissao'!B7</f>
        <v>0</v>
      </c>
      <c r="D5" s="10">
        <f>'Lojas Leves'!D24*'% comissao'!C7</f>
        <v>0</v>
      </c>
      <c r="E5" s="10">
        <f>'Lojas Leves'!E24*'% comissao'!D7</f>
        <v>0</v>
      </c>
      <c r="F5" s="10">
        <f>'Lojas Leves'!F24*'% comissao'!E7</f>
        <v>0</v>
      </c>
      <c r="G5" s="10">
        <f>'Lojas Leves'!G24*'% comissao'!F7</f>
        <v>0</v>
      </c>
      <c r="H5" s="10">
        <f>'Lojas Leves'!H24*'% comissao'!G7</f>
        <v>0</v>
      </c>
      <c r="I5" s="10">
        <f>'Lojas Leves'!I24*'% comissao'!H7</f>
        <v>0</v>
      </c>
      <c r="J5" s="10">
        <f>'Lojas Leves'!J24*'% comissao'!I7</f>
        <v>0</v>
      </c>
      <c r="K5" s="10">
        <f>'Lojas Leves'!K24*'% comissao'!J7</f>
        <v>0</v>
      </c>
      <c r="L5" s="16">
        <f t="shared" si="0"/>
        <v>0</v>
      </c>
    </row>
    <row r="6" spans="1:12" x14ac:dyDescent="0.25">
      <c r="A6" s="5">
        <f>'Lojas Leves'!A6</f>
        <v>0</v>
      </c>
      <c r="B6" s="5">
        <f>'Lojas Leves'!B6</f>
        <v>0</v>
      </c>
      <c r="C6" s="10">
        <f>'Lojas Leves'!C25*'% comissao'!B8</f>
        <v>0</v>
      </c>
      <c r="D6" s="10">
        <f>'Lojas Leves'!D25*'% comissao'!C8</f>
        <v>0</v>
      </c>
      <c r="E6" s="10">
        <f>'Lojas Leves'!E25*'% comissao'!D8</f>
        <v>0</v>
      </c>
      <c r="F6" s="10">
        <f>'Lojas Leves'!F25*'% comissao'!E8</f>
        <v>0</v>
      </c>
      <c r="G6" s="10">
        <f>'Lojas Leves'!G25*'% comissao'!F8</f>
        <v>0</v>
      </c>
      <c r="H6" s="10">
        <f>'Lojas Leves'!H25*'% comissao'!G8</f>
        <v>0</v>
      </c>
      <c r="I6" s="10">
        <f>'Lojas Leves'!I25*'% comissao'!H8</f>
        <v>0</v>
      </c>
      <c r="J6" s="10">
        <f>'Lojas Leves'!J25*'% comissao'!I8</f>
        <v>0</v>
      </c>
      <c r="K6" s="10">
        <f>'Lojas Leves'!K25*'% comissao'!J8</f>
        <v>0</v>
      </c>
      <c r="L6" s="16">
        <f t="shared" si="0"/>
        <v>0</v>
      </c>
    </row>
    <row r="7" spans="1:12" x14ac:dyDescent="0.25">
      <c r="A7" s="5">
        <f>'Lojas Leves'!A7</f>
        <v>0</v>
      </c>
      <c r="B7" s="5">
        <f>'Lojas Leves'!B7</f>
        <v>0</v>
      </c>
      <c r="C7" s="10">
        <f>'Lojas Leves'!C26*'% comissao'!B9</f>
        <v>0</v>
      </c>
      <c r="D7" s="10">
        <f>'Lojas Leves'!D26*'% comissao'!C9</f>
        <v>0</v>
      </c>
      <c r="E7" s="10">
        <f>'Lojas Leves'!E26*'% comissao'!D9</f>
        <v>0</v>
      </c>
      <c r="F7" s="10">
        <f>'Lojas Leves'!F26*'% comissao'!E9</f>
        <v>0</v>
      </c>
      <c r="G7" s="10">
        <f>'Lojas Leves'!G26*'% comissao'!F9</f>
        <v>0</v>
      </c>
      <c r="H7" s="10">
        <f>'Lojas Leves'!H26*'% comissao'!G9</f>
        <v>0</v>
      </c>
      <c r="I7" s="10">
        <f>'Lojas Leves'!I26*'% comissao'!H9</f>
        <v>0</v>
      </c>
      <c r="J7" s="10">
        <f>'Lojas Leves'!J26*'% comissao'!I9</f>
        <v>0</v>
      </c>
      <c r="K7" s="10">
        <f>'Lojas Leves'!K26*'% comissao'!J9</f>
        <v>0</v>
      </c>
      <c r="L7" s="16">
        <f t="shared" si="0"/>
        <v>0</v>
      </c>
    </row>
    <row r="8" spans="1:12" x14ac:dyDescent="0.25">
      <c r="A8" s="5">
        <f>'Lojas Leves'!A8</f>
        <v>0</v>
      </c>
      <c r="B8" s="5">
        <f>'Lojas Leves'!B8</f>
        <v>0</v>
      </c>
      <c r="C8" s="10">
        <f>'Lojas Leves'!C27*'% comissao'!B10</f>
        <v>0</v>
      </c>
      <c r="D8" s="10">
        <f>'Lojas Leves'!D27*'% comissao'!C10</f>
        <v>0</v>
      </c>
      <c r="E8" s="10">
        <f>'Lojas Leves'!E27*'% comissao'!D10</f>
        <v>0</v>
      </c>
      <c r="F8" s="10">
        <f>'Lojas Leves'!F27*'% comissao'!E10</f>
        <v>0</v>
      </c>
      <c r="G8" s="10">
        <f>'Lojas Leves'!G27*'% comissao'!F10</f>
        <v>0</v>
      </c>
      <c r="H8" s="10">
        <f>'Lojas Leves'!H27*'% comissao'!G10</f>
        <v>0</v>
      </c>
      <c r="I8" s="10">
        <f>'Lojas Leves'!I27*'% comissao'!H10</f>
        <v>0</v>
      </c>
      <c r="J8" s="10">
        <f>'Lojas Leves'!J27*'% comissao'!I10</f>
        <v>0</v>
      </c>
      <c r="K8" s="10">
        <f>'Lojas Leves'!K27*'% comissao'!J10</f>
        <v>0</v>
      </c>
      <c r="L8" s="16">
        <f t="shared" si="0"/>
        <v>0</v>
      </c>
    </row>
    <row r="9" spans="1:12" x14ac:dyDescent="0.25">
      <c r="A9" s="5">
        <f>'Lojas Leves'!A9</f>
        <v>0</v>
      </c>
      <c r="B9" s="5">
        <f>'Lojas Leves'!B9</f>
        <v>0</v>
      </c>
      <c r="C9" s="10">
        <f>'Lojas Leves'!C28*'% comissao'!B11</f>
        <v>0</v>
      </c>
      <c r="D9" s="10">
        <f>'Lojas Leves'!D28*'% comissao'!C11</f>
        <v>0</v>
      </c>
      <c r="E9" s="10">
        <f>'Lojas Leves'!E28*'% comissao'!D11</f>
        <v>0</v>
      </c>
      <c r="F9" s="10">
        <f>'Lojas Leves'!F28*'% comissao'!E11</f>
        <v>0</v>
      </c>
      <c r="G9" s="10">
        <f>'Lojas Leves'!G28*'% comissao'!F11</f>
        <v>0</v>
      </c>
      <c r="H9" s="10">
        <f>'Lojas Leves'!H28*'% comissao'!G11</f>
        <v>0</v>
      </c>
      <c r="I9" s="10">
        <f>'Lojas Leves'!I28*'% comissao'!H11</f>
        <v>0</v>
      </c>
      <c r="J9" s="10">
        <f>'Lojas Leves'!J28*'% comissao'!I11</f>
        <v>0</v>
      </c>
      <c r="K9" s="10">
        <f>'Lojas Leves'!K28*'% comissao'!J11</f>
        <v>0</v>
      </c>
      <c r="L9" s="16">
        <f t="shared" si="0"/>
        <v>0</v>
      </c>
    </row>
    <row r="10" spans="1:12" x14ac:dyDescent="0.25">
      <c r="A10" s="5">
        <f>'Lojas Leves'!A10</f>
        <v>0</v>
      </c>
      <c r="B10" s="5">
        <f>'Lojas Leves'!B10</f>
        <v>0</v>
      </c>
      <c r="C10" s="10">
        <f>'Lojas Leves'!C29*'% comissao'!B12</f>
        <v>0</v>
      </c>
      <c r="D10" s="10">
        <f>'Lojas Leves'!D29*'% comissao'!C12</f>
        <v>0</v>
      </c>
      <c r="E10" s="10">
        <f>'Lojas Leves'!E29*'% comissao'!D12</f>
        <v>0</v>
      </c>
      <c r="F10" s="10">
        <f>'Lojas Leves'!F29*'% comissao'!E12</f>
        <v>0</v>
      </c>
      <c r="G10" s="10">
        <f>'Lojas Leves'!G29*'% comissao'!F12</f>
        <v>0</v>
      </c>
      <c r="H10" s="10">
        <f>'Lojas Leves'!H29*'% comissao'!G12</f>
        <v>0</v>
      </c>
      <c r="I10" s="10">
        <f>'Lojas Leves'!I29*'% comissao'!H12</f>
        <v>0</v>
      </c>
      <c r="J10" s="10">
        <f>'Lojas Leves'!J29*'% comissao'!I12</f>
        <v>0</v>
      </c>
      <c r="K10" s="10">
        <f>'Lojas Leves'!K29*'% comissao'!J12</f>
        <v>0</v>
      </c>
      <c r="L10" s="16">
        <f t="shared" si="0"/>
        <v>0</v>
      </c>
    </row>
    <row r="11" spans="1:12" x14ac:dyDescent="0.25">
      <c r="A11" s="5">
        <f>'Lojas Leves'!A11</f>
        <v>0</v>
      </c>
      <c r="B11" s="5">
        <f>'Lojas Leves'!B11</f>
        <v>0</v>
      </c>
      <c r="C11" s="10">
        <f>'Lojas Leves'!C30*'% comissao'!B13</f>
        <v>0</v>
      </c>
      <c r="D11" s="10">
        <f>'Lojas Leves'!D30*'% comissao'!C13</f>
        <v>0</v>
      </c>
      <c r="E11" s="10">
        <f>'Lojas Leves'!E30*'% comissao'!D13</f>
        <v>0</v>
      </c>
      <c r="F11" s="10">
        <f>'Lojas Leves'!F30*'% comissao'!E13</f>
        <v>0</v>
      </c>
      <c r="G11" s="10">
        <f>'Lojas Leves'!G30*'% comissao'!F13</f>
        <v>0</v>
      </c>
      <c r="H11" s="10">
        <f>'Lojas Leves'!H30*'% comissao'!G13</f>
        <v>0</v>
      </c>
      <c r="I11" s="10">
        <f>'Lojas Leves'!I30*'% comissao'!H13</f>
        <v>0</v>
      </c>
      <c r="J11" s="10">
        <f>'Lojas Leves'!J30*'% comissao'!I13</f>
        <v>0</v>
      </c>
      <c r="K11" s="10">
        <f>'Lojas Leves'!K30*'% comissao'!J13</f>
        <v>0</v>
      </c>
      <c r="L11" s="16">
        <f t="shared" si="0"/>
        <v>0</v>
      </c>
    </row>
    <row r="12" spans="1:12" x14ac:dyDescent="0.25">
      <c r="A12" s="5">
        <f>'Lojas Leves'!A12</f>
        <v>0</v>
      </c>
      <c r="B12" s="5">
        <f>'Lojas Leves'!B12</f>
        <v>0</v>
      </c>
      <c r="C12" s="10">
        <f>'Lojas Leves'!C31*'% comissao'!B14</f>
        <v>0</v>
      </c>
      <c r="D12" s="10">
        <f>'Lojas Leves'!D31*'% comissao'!C14</f>
        <v>0</v>
      </c>
      <c r="E12" s="10">
        <f>'Lojas Leves'!E31*'% comissao'!D14</f>
        <v>0</v>
      </c>
      <c r="F12" s="10">
        <f>'Lojas Leves'!F31*'% comissao'!E14</f>
        <v>0</v>
      </c>
      <c r="G12" s="10">
        <f>'Lojas Leves'!G31*'% comissao'!F14</f>
        <v>0</v>
      </c>
      <c r="H12" s="10">
        <f>'Lojas Leves'!H31*'% comissao'!G14</f>
        <v>0</v>
      </c>
      <c r="I12" s="10">
        <f>'Lojas Leves'!I31*'% comissao'!H14</f>
        <v>0</v>
      </c>
      <c r="J12" s="10">
        <f>'Lojas Leves'!J31*'% comissao'!I14</f>
        <v>0</v>
      </c>
      <c r="K12" s="10">
        <f>'Lojas Leves'!K31*'% comissao'!J14</f>
        <v>0</v>
      </c>
      <c r="L12" s="16">
        <f t="shared" si="0"/>
        <v>0</v>
      </c>
    </row>
    <row r="13" spans="1:12" x14ac:dyDescent="0.25">
      <c r="A13" s="5">
        <f>'Lojas Leves'!A13</f>
        <v>0</v>
      </c>
      <c r="B13" s="5">
        <f>'Lojas Leves'!B13</f>
        <v>0</v>
      </c>
      <c r="C13" s="10">
        <f>'Lojas Leves'!C32*'% comissao'!B15</f>
        <v>0</v>
      </c>
      <c r="D13" s="10">
        <f>'Lojas Leves'!D32*'% comissao'!C15</f>
        <v>0</v>
      </c>
      <c r="E13" s="10">
        <f>'Lojas Leves'!E32*'% comissao'!D15</f>
        <v>0</v>
      </c>
      <c r="F13" s="10">
        <f>'Lojas Leves'!F32*'% comissao'!E15</f>
        <v>0</v>
      </c>
      <c r="G13" s="10">
        <f>'Lojas Leves'!G32*'% comissao'!F15</f>
        <v>0</v>
      </c>
      <c r="H13" s="10">
        <f>'Lojas Leves'!H32*'% comissao'!G15</f>
        <v>0</v>
      </c>
      <c r="I13" s="10">
        <f>'Lojas Leves'!I32*'% comissao'!H15</f>
        <v>0</v>
      </c>
      <c r="J13" s="10">
        <f>'Lojas Leves'!J32*'% comissao'!I15</f>
        <v>0</v>
      </c>
      <c r="K13" s="10">
        <f>'Lojas Leves'!K32*'% comissao'!J15</f>
        <v>0</v>
      </c>
      <c r="L13" s="16">
        <f t="shared" si="0"/>
        <v>0</v>
      </c>
    </row>
    <row r="14" spans="1:12" x14ac:dyDescent="0.25">
      <c r="A14" s="5">
        <f>'Lojas Leves'!A14</f>
        <v>0</v>
      </c>
      <c r="B14" s="5">
        <f>'Lojas Leves'!B14</f>
        <v>0</v>
      </c>
      <c r="C14" s="10">
        <f>'Lojas Leves'!C33*'% comissao'!B16</f>
        <v>0</v>
      </c>
      <c r="D14" s="10">
        <f>'Lojas Leves'!D33*'% comissao'!C16</f>
        <v>0</v>
      </c>
      <c r="E14" s="10">
        <f>'Lojas Leves'!E33*'% comissao'!D16</f>
        <v>0</v>
      </c>
      <c r="F14" s="10">
        <f>'Lojas Leves'!F33*'% comissao'!E16</f>
        <v>0</v>
      </c>
      <c r="G14" s="10">
        <f>'Lojas Leves'!G33*'% comissao'!F16</f>
        <v>0</v>
      </c>
      <c r="H14" s="10">
        <f>'Lojas Leves'!H33*'% comissao'!G16</f>
        <v>0</v>
      </c>
      <c r="I14" s="10">
        <f>'Lojas Leves'!I33*'% comissao'!H16</f>
        <v>0</v>
      </c>
      <c r="J14" s="10">
        <f>'Lojas Leves'!J33*'% comissao'!I16</f>
        <v>0</v>
      </c>
      <c r="K14" s="10">
        <f>'Lojas Leves'!K33*'% comissao'!J16</f>
        <v>0</v>
      </c>
      <c r="L14" s="16">
        <f t="shared" si="0"/>
        <v>0</v>
      </c>
    </row>
    <row r="15" spans="1:12" x14ac:dyDescent="0.25">
      <c r="A15" s="5">
        <f>'Lojas Leves'!A15</f>
        <v>0</v>
      </c>
      <c r="B15" s="5">
        <f>'Lojas Leves'!B15</f>
        <v>0</v>
      </c>
      <c r="C15" s="10">
        <f>'Lojas Leves'!C34*'% comissao'!B17</f>
        <v>0</v>
      </c>
      <c r="D15" s="10">
        <f>'Lojas Leves'!D34*'% comissao'!C17</f>
        <v>0</v>
      </c>
      <c r="E15" s="10">
        <f>'Lojas Leves'!E34*'% comissao'!D17</f>
        <v>0</v>
      </c>
      <c r="F15" s="10">
        <f>'Lojas Leves'!F34*'% comissao'!E17</f>
        <v>0</v>
      </c>
      <c r="G15" s="10">
        <f>'Lojas Leves'!G34*'% comissao'!F17</f>
        <v>0</v>
      </c>
      <c r="H15" s="10">
        <f>'Lojas Leves'!H34*'% comissao'!G17</f>
        <v>0</v>
      </c>
      <c r="I15" s="10">
        <f>'Lojas Leves'!I34*'% comissao'!H17</f>
        <v>0</v>
      </c>
      <c r="J15" s="10">
        <f>'Lojas Leves'!J34*'% comissao'!I17</f>
        <v>0</v>
      </c>
      <c r="K15" s="10">
        <f>'Lojas Leves'!K34*'% comissao'!J17</f>
        <v>0</v>
      </c>
      <c r="L15" s="16">
        <f t="shared" si="0"/>
        <v>0</v>
      </c>
    </row>
    <row r="16" spans="1:12" x14ac:dyDescent="0.25">
      <c r="A16" s="5">
        <f>'Lojas Leves'!A16</f>
        <v>0</v>
      </c>
      <c r="B16" s="5">
        <f>'Lojas Leves'!B16</f>
        <v>0</v>
      </c>
      <c r="C16" s="10">
        <f>'Lojas Leves'!C35*'% comissao'!B18</f>
        <v>0</v>
      </c>
      <c r="D16" s="10">
        <f>'Lojas Leves'!D35*'% comissao'!C18</f>
        <v>0</v>
      </c>
      <c r="E16" s="10">
        <f>'Lojas Leves'!E35*'% comissao'!D18</f>
        <v>0</v>
      </c>
      <c r="F16" s="10">
        <f>'Lojas Leves'!F35*'% comissao'!E18</f>
        <v>0</v>
      </c>
      <c r="G16" s="10">
        <f>'Lojas Leves'!G35*'% comissao'!F18</f>
        <v>0</v>
      </c>
      <c r="H16" s="10">
        <f>'Lojas Leves'!H35*'% comissao'!G18</f>
        <v>0</v>
      </c>
      <c r="I16" s="10">
        <f>'Lojas Leves'!I35*'% comissao'!H18</f>
        <v>0</v>
      </c>
      <c r="J16" s="10">
        <f>'Lojas Leves'!J35*'% comissao'!I18</f>
        <v>0</v>
      </c>
      <c r="K16" s="10">
        <f>'Lojas Leves'!K35*'% comissao'!J18</f>
        <v>0</v>
      </c>
      <c r="L16" s="16">
        <f t="shared" si="0"/>
        <v>0</v>
      </c>
    </row>
    <row r="17" spans="1:12" x14ac:dyDescent="0.25">
      <c r="A17" s="5">
        <f>'Lojas Leves'!A17</f>
        <v>0</v>
      </c>
      <c r="B17" s="5">
        <f>'Lojas Leves'!B17</f>
        <v>0</v>
      </c>
      <c r="C17" s="10">
        <f>'Lojas Leves'!C36*'% comissao'!B19</f>
        <v>0</v>
      </c>
      <c r="D17" s="10">
        <f>'Lojas Leves'!D36*'% comissao'!C19</f>
        <v>0</v>
      </c>
      <c r="E17" s="10">
        <f>'Lojas Leves'!E36*'% comissao'!D19</f>
        <v>0</v>
      </c>
      <c r="F17" s="10">
        <f>'Lojas Leves'!F36*'% comissao'!E19</f>
        <v>0</v>
      </c>
      <c r="G17" s="10">
        <f>'Lojas Leves'!G36*'% comissao'!F19</f>
        <v>0</v>
      </c>
      <c r="H17" s="10">
        <f>'Lojas Leves'!H36*'% comissao'!G19</f>
        <v>0</v>
      </c>
      <c r="I17" s="10">
        <f>'Lojas Leves'!I36*'% comissao'!H19</f>
        <v>0</v>
      </c>
      <c r="J17" s="10">
        <f>'Lojas Leves'!J36*'% comissao'!I19</f>
        <v>0</v>
      </c>
      <c r="K17" s="10">
        <f>'Lojas Leves'!K36*'% comissao'!J19</f>
        <v>0</v>
      </c>
      <c r="L17" s="16">
        <f t="shared" si="0"/>
        <v>0</v>
      </c>
    </row>
    <row r="18" spans="1:12" x14ac:dyDescent="0.25">
      <c r="A18" s="5">
        <f>'Lojas Leves'!A18</f>
        <v>0</v>
      </c>
      <c r="B18" s="5">
        <f>'Lojas Leves'!B18</f>
        <v>0</v>
      </c>
      <c r="C18" s="10">
        <f>'Lojas Leves'!C37*'% comissao'!B20</f>
        <v>0</v>
      </c>
      <c r="D18" s="10">
        <f>'Lojas Leves'!D37*'% comissao'!C20</f>
        <v>0</v>
      </c>
      <c r="E18" s="10">
        <f>'Lojas Leves'!E37*'% comissao'!D20</f>
        <v>0</v>
      </c>
      <c r="F18" s="10">
        <f>'Lojas Leves'!F37*'% comissao'!E20</f>
        <v>0</v>
      </c>
      <c r="G18" s="10">
        <f>'Lojas Leves'!G37*'% comissao'!F20</f>
        <v>0</v>
      </c>
      <c r="H18" s="10">
        <f>'Lojas Leves'!H37*'% comissao'!G20</f>
        <v>0</v>
      </c>
      <c r="I18" s="10">
        <f>'Lojas Leves'!I37*'% comissao'!H20</f>
        <v>0</v>
      </c>
      <c r="J18" s="10">
        <f>'Lojas Leves'!J37*'% comissao'!I20</f>
        <v>0</v>
      </c>
      <c r="K18" s="10">
        <f>'Lojas Leves'!K37*'% comissao'!J20</f>
        <v>0</v>
      </c>
      <c r="L18" s="16">
        <f t="shared" si="0"/>
        <v>0</v>
      </c>
    </row>
    <row r="19" spans="1:12" x14ac:dyDescent="0.25">
      <c r="A19" s="5">
        <f>'Lojas Leves'!A19</f>
        <v>0</v>
      </c>
      <c r="B19" s="5">
        <f>'Lojas Leves'!B19</f>
        <v>0</v>
      </c>
      <c r="C19" s="10">
        <f>'Lojas Leves'!C38*'% comissao'!B21</f>
        <v>0</v>
      </c>
      <c r="D19" s="10">
        <f>'Lojas Leves'!D38*'% comissao'!C21</f>
        <v>0</v>
      </c>
      <c r="E19" s="10">
        <f>'Lojas Leves'!E38*'% comissao'!D21</f>
        <v>0</v>
      </c>
      <c r="F19" s="10">
        <f>'Lojas Leves'!F38*'% comissao'!E21</f>
        <v>0</v>
      </c>
      <c r="G19" s="10">
        <f>'Lojas Leves'!G38*'% comissao'!F21</f>
        <v>0</v>
      </c>
      <c r="H19" s="10">
        <f>'Lojas Leves'!H38*'% comissao'!G21</f>
        <v>0</v>
      </c>
      <c r="I19" s="10">
        <f>'Lojas Leves'!I38*'% comissao'!H21</f>
        <v>0</v>
      </c>
      <c r="J19" s="10">
        <f>'Lojas Leves'!J38*'% comissao'!I21</f>
        <v>0</v>
      </c>
      <c r="K19" s="10">
        <f>'Lojas Leves'!K38*'% comissao'!J21</f>
        <v>0</v>
      </c>
      <c r="L19" s="16">
        <f t="shared" si="0"/>
        <v>0</v>
      </c>
    </row>
    <row r="20" spans="1:12" x14ac:dyDescent="0.25">
      <c r="A20" s="5">
        <f>'Lojas Leves'!A20</f>
        <v>0</v>
      </c>
      <c r="B20" s="5">
        <f>'Lojas Leves'!B20</f>
        <v>0</v>
      </c>
      <c r="C20" s="10">
        <f>'Lojas Leves'!C39*'% comissao'!B22</f>
        <v>0</v>
      </c>
      <c r="D20" s="10">
        <f>'Lojas Leves'!D39*'% comissao'!C22</f>
        <v>0</v>
      </c>
      <c r="E20" s="10">
        <f>'Lojas Leves'!E39*'% comissao'!D22</f>
        <v>0</v>
      </c>
      <c r="F20" s="10">
        <f>'Lojas Leves'!F39*'% comissao'!E22</f>
        <v>0</v>
      </c>
      <c r="G20" s="10">
        <f>'Lojas Leves'!G39*'% comissao'!F22</f>
        <v>0</v>
      </c>
      <c r="H20" s="10">
        <f>'Lojas Leves'!H39*'% comissao'!G22</f>
        <v>0</v>
      </c>
      <c r="I20" s="10">
        <f>'Lojas Leves'!I39*'% comissao'!H22</f>
        <v>0</v>
      </c>
      <c r="J20" s="10">
        <f>'Lojas Leves'!J39*'% comissao'!I22</f>
        <v>0</v>
      </c>
      <c r="K20" s="10">
        <f>'Lojas Leves'!K39*'% comissao'!J22</f>
        <v>0</v>
      </c>
      <c r="L20" s="16">
        <f t="shared" si="0"/>
        <v>0</v>
      </c>
    </row>
    <row r="21" spans="1:12" x14ac:dyDescent="0.25">
      <c r="C21" s="15">
        <f t="shared" ref="C21:L21" si="1">SUM(C2:C20)</f>
        <v>450</v>
      </c>
      <c r="D21" s="15">
        <f t="shared" si="1"/>
        <v>2832.8665000000001</v>
      </c>
      <c r="E21" s="15">
        <f t="shared" si="1"/>
        <v>3507.5285999999996</v>
      </c>
      <c r="F21" s="15">
        <f t="shared" si="1"/>
        <v>60</v>
      </c>
      <c r="G21" s="15">
        <f t="shared" si="1"/>
        <v>118.8</v>
      </c>
      <c r="H21" s="15">
        <f t="shared" si="1"/>
        <v>60</v>
      </c>
      <c r="I21" s="15">
        <f t="shared" si="1"/>
        <v>47.4</v>
      </c>
      <c r="J21" s="15">
        <f t="shared" si="1"/>
        <v>2200</v>
      </c>
      <c r="K21" s="15">
        <f t="shared" si="1"/>
        <v>350</v>
      </c>
      <c r="L21" s="15">
        <f t="shared" si="1"/>
        <v>9626.5950999999986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D361-6156-4216-802A-7D34CA56C571}">
  <dimension ref="A1:L21"/>
  <sheetViews>
    <sheetView showGridLines="0" zoomScale="110" zoomScaleNormal="110" workbookViewId="0">
      <selection activeCell="A21" sqref="A21:XFD22"/>
    </sheetView>
  </sheetViews>
  <sheetFormatPr defaultRowHeight="15" x14ac:dyDescent="0.25"/>
  <cols>
    <col min="1" max="1" width="2.7109375" bestFit="1" customWidth="1"/>
    <col min="2" max="2" width="16.42578125" bestFit="1" customWidth="1"/>
    <col min="3" max="11" width="15.7109375" style="3" customWidth="1"/>
    <col min="12" max="12" width="10.5703125" bestFit="1" customWidth="1"/>
  </cols>
  <sheetData>
    <row r="1" spans="1:12" x14ac:dyDescent="0.25">
      <c r="A1" s="13" t="s">
        <v>0</v>
      </c>
      <c r="B1" s="13" t="s">
        <v>1</v>
      </c>
      <c r="C1" s="8" t="s">
        <v>3</v>
      </c>
      <c r="D1" s="8" t="s">
        <v>15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14</v>
      </c>
    </row>
    <row r="2" spans="1:12" x14ac:dyDescent="0.25">
      <c r="A2" s="5">
        <f>'Lojas Leves'!A2</f>
        <v>1</v>
      </c>
      <c r="B2" s="5" t="str">
        <f>'Lojas Leves'!B2</f>
        <v>2D MOTORS</v>
      </c>
      <c r="C2" s="10">
        <f>'Lojas Leves'!C21*'% comissao'!B3</f>
        <v>150</v>
      </c>
      <c r="D2" s="10">
        <f>'Lojas Leves'!D21*'% comissao'!C3</f>
        <v>566.57330000000002</v>
      </c>
      <c r="E2" s="10">
        <f>'Lojas Leves'!E21*'% comissao'!D3</f>
        <v>2338.3523999999998</v>
      </c>
      <c r="F2" s="10">
        <f>'Lojas Leves'!F21*'% comissao'!E3</f>
        <v>40</v>
      </c>
      <c r="G2" s="10">
        <f>'Lojas Leves'!G21*'% comissao'!F3</f>
        <v>79.2</v>
      </c>
      <c r="H2" s="10">
        <f>'Lojas Leves'!H21*'% comissao'!G3</f>
        <v>40</v>
      </c>
      <c r="I2" s="10">
        <f>'Lojas Leves'!I21*'% comissao'!H3</f>
        <v>31.6</v>
      </c>
      <c r="J2" s="10">
        <f>'Lojas Leves'!J21*'% comissao'!I3</f>
        <v>1100</v>
      </c>
      <c r="K2" s="10">
        <f>'Lojas Leves'!K21*'% comissao'!J3</f>
        <v>350</v>
      </c>
      <c r="L2" s="14">
        <f>SUM(C2:K2)</f>
        <v>4695.7256999999991</v>
      </c>
    </row>
    <row r="3" spans="1:12" x14ac:dyDescent="0.25">
      <c r="A3" s="5">
        <f>'Lojas Leves'!A3</f>
        <v>2</v>
      </c>
      <c r="B3" s="5" t="str">
        <f>'Lojas Leves'!B3</f>
        <v>IMPACTO</v>
      </c>
      <c r="C3" s="10">
        <f>'Lojas Leves'!C22*'% comissao'!B4</f>
        <v>0</v>
      </c>
      <c r="D3" s="10">
        <f>'Lojas Leves'!D22*'% comissao'!C4</f>
        <v>0</v>
      </c>
      <c r="E3" s="10">
        <f>'Lojas Leves'!E22*'% comissao'!D4</f>
        <v>0</v>
      </c>
      <c r="F3" s="10">
        <f>'Lojas Leves'!F22*'% comissao'!E4</f>
        <v>0</v>
      </c>
      <c r="G3" s="10">
        <f>'Lojas Leves'!G22*'% comissao'!F4</f>
        <v>0</v>
      </c>
      <c r="H3" s="10">
        <f>'Lojas Leves'!H22*'% comissao'!G4</f>
        <v>0</v>
      </c>
      <c r="I3" s="10">
        <f>'Lojas Leves'!I22*'% comissao'!H4</f>
        <v>0</v>
      </c>
      <c r="J3" s="10">
        <f>'Lojas Leves'!J22*'% comissao'!I4</f>
        <v>0</v>
      </c>
      <c r="K3" s="10">
        <f>'Lojas Leves'!K22*'% comissao'!J4</f>
        <v>0</v>
      </c>
      <c r="L3" s="14">
        <f t="shared" ref="L3:L20" si="0">SUM(C3:K3)</f>
        <v>0</v>
      </c>
    </row>
    <row r="4" spans="1:12" x14ac:dyDescent="0.25">
      <c r="A4" s="5">
        <f>'Lojas Leves'!A4</f>
        <v>3</v>
      </c>
      <c r="B4" s="5" t="str">
        <f>'Lojas Leves'!B4</f>
        <v>QUEIROZ</v>
      </c>
      <c r="C4" s="10">
        <f>'Lojas Leves'!C23*'% comissao'!B5</f>
        <v>0</v>
      </c>
      <c r="D4" s="10">
        <f>'Lojas Leves'!D23*'% comissao'!C5</f>
        <v>0</v>
      </c>
      <c r="E4" s="10">
        <f>'Lojas Leves'!E23*'% comissao'!D5</f>
        <v>0</v>
      </c>
      <c r="F4" s="10">
        <f>'Lojas Leves'!F23*'% comissao'!E5</f>
        <v>0</v>
      </c>
      <c r="G4" s="10">
        <f>'Lojas Leves'!G23*'% comissao'!F5</f>
        <v>0</v>
      </c>
      <c r="H4" s="10">
        <f>'Lojas Leves'!H23*'% comissao'!G5</f>
        <v>0</v>
      </c>
      <c r="I4" s="10">
        <f>'Lojas Leves'!I23*'% comissao'!H5</f>
        <v>0</v>
      </c>
      <c r="J4" s="10">
        <f>'Lojas Leves'!J23*'% comissao'!I5</f>
        <v>0</v>
      </c>
      <c r="K4" s="10">
        <f>'Lojas Leves'!K23*'% comissao'!J5</f>
        <v>0</v>
      </c>
      <c r="L4" s="14">
        <f t="shared" si="0"/>
        <v>0</v>
      </c>
    </row>
    <row r="5" spans="1:12" x14ac:dyDescent="0.25">
      <c r="A5" s="5">
        <f>'Lojas Leves'!A5</f>
        <v>4</v>
      </c>
      <c r="B5" s="5" t="str">
        <f>'Lojas Leves'!B5</f>
        <v>LM VEICULOS</v>
      </c>
      <c r="C5" s="10">
        <f>'Lojas Leves'!C24*'% comissao'!B6</f>
        <v>0</v>
      </c>
      <c r="D5" s="10">
        <f>'Lojas Leves'!D24*'% comissao'!C6</f>
        <v>0</v>
      </c>
      <c r="E5" s="10">
        <f>'Lojas Leves'!E24*'% comissao'!D6</f>
        <v>0</v>
      </c>
      <c r="F5" s="10">
        <f>'Lojas Leves'!F24*'% comissao'!E6</f>
        <v>0</v>
      </c>
      <c r="G5" s="10">
        <f>'Lojas Leves'!G24*'% comissao'!F6</f>
        <v>0</v>
      </c>
      <c r="H5" s="10">
        <f>'Lojas Leves'!H24*'% comissao'!G6</f>
        <v>0</v>
      </c>
      <c r="I5" s="10">
        <f>'Lojas Leves'!I24*'% comissao'!H6</f>
        <v>0</v>
      </c>
      <c r="J5" s="10">
        <f>'Lojas Leves'!J24*'% comissao'!I6</f>
        <v>0</v>
      </c>
      <c r="K5" s="10">
        <f>'Lojas Leves'!K24*'% comissao'!J6</f>
        <v>0</v>
      </c>
      <c r="L5" s="14">
        <f t="shared" si="0"/>
        <v>0</v>
      </c>
    </row>
    <row r="6" spans="1:12" x14ac:dyDescent="0.25">
      <c r="A6" s="5">
        <f>'Lojas Leves'!A6</f>
        <v>0</v>
      </c>
      <c r="B6" s="5">
        <f>'Lojas Leves'!B6</f>
        <v>0</v>
      </c>
      <c r="C6" s="10">
        <f>'Lojas Leves'!C25*'% comissao'!B7</f>
        <v>0</v>
      </c>
      <c r="D6" s="10">
        <f>'Lojas Leves'!D25*'% comissao'!C7</f>
        <v>0</v>
      </c>
      <c r="E6" s="10">
        <f>'Lojas Leves'!E25*'% comissao'!D7</f>
        <v>0</v>
      </c>
      <c r="F6" s="10">
        <f>'Lojas Leves'!F25*'% comissao'!E7</f>
        <v>0</v>
      </c>
      <c r="G6" s="10">
        <f>'Lojas Leves'!G25*'% comissao'!F7</f>
        <v>0</v>
      </c>
      <c r="H6" s="10">
        <f>'Lojas Leves'!H25*'% comissao'!G7</f>
        <v>0</v>
      </c>
      <c r="I6" s="10">
        <f>'Lojas Leves'!I25*'% comissao'!H7</f>
        <v>0</v>
      </c>
      <c r="J6" s="10">
        <f>'Lojas Leves'!J25*'% comissao'!I7</f>
        <v>0</v>
      </c>
      <c r="K6" s="10">
        <f>'Lojas Leves'!K25*'% comissao'!J7</f>
        <v>0</v>
      </c>
      <c r="L6" s="14">
        <f t="shared" si="0"/>
        <v>0</v>
      </c>
    </row>
    <row r="7" spans="1:12" x14ac:dyDescent="0.25">
      <c r="A7" s="5">
        <f>'Lojas Leves'!A7</f>
        <v>0</v>
      </c>
      <c r="B7" s="5">
        <f>'Lojas Leves'!B7</f>
        <v>0</v>
      </c>
      <c r="C7" s="10">
        <f>'Lojas Leves'!C26*'% comissao'!B8</f>
        <v>0</v>
      </c>
      <c r="D7" s="10">
        <f>'Lojas Leves'!D26*'% comissao'!C8</f>
        <v>0</v>
      </c>
      <c r="E7" s="10">
        <f>'Lojas Leves'!E26*'% comissao'!D8</f>
        <v>0</v>
      </c>
      <c r="F7" s="10">
        <f>'Lojas Leves'!F26*'% comissao'!E8</f>
        <v>0</v>
      </c>
      <c r="G7" s="10">
        <f>'Lojas Leves'!G26*'% comissao'!F8</f>
        <v>0</v>
      </c>
      <c r="H7" s="10">
        <f>'Lojas Leves'!H26*'% comissao'!G8</f>
        <v>0</v>
      </c>
      <c r="I7" s="10">
        <f>'Lojas Leves'!I26*'% comissao'!H8</f>
        <v>0</v>
      </c>
      <c r="J7" s="10">
        <f>'Lojas Leves'!J26*'% comissao'!I8</f>
        <v>0</v>
      </c>
      <c r="K7" s="10">
        <f>'Lojas Leves'!K26*'% comissao'!J8</f>
        <v>0</v>
      </c>
      <c r="L7" s="14">
        <f t="shared" si="0"/>
        <v>0</v>
      </c>
    </row>
    <row r="8" spans="1:12" x14ac:dyDescent="0.25">
      <c r="A8" s="5">
        <f>'Lojas Leves'!A8</f>
        <v>0</v>
      </c>
      <c r="B8" s="5">
        <f>'Lojas Leves'!B8</f>
        <v>0</v>
      </c>
      <c r="C8" s="10">
        <f>'Lojas Leves'!C27*'% comissao'!B9</f>
        <v>0</v>
      </c>
      <c r="D8" s="10">
        <f>'Lojas Leves'!D27*'% comissao'!C9</f>
        <v>0</v>
      </c>
      <c r="E8" s="10">
        <f>'Lojas Leves'!E27*'% comissao'!D9</f>
        <v>0</v>
      </c>
      <c r="F8" s="10">
        <f>'Lojas Leves'!F27*'% comissao'!E9</f>
        <v>0</v>
      </c>
      <c r="G8" s="10">
        <f>'Lojas Leves'!G27*'% comissao'!F9</f>
        <v>0</v>
      </c>
      <c r="H8" s="10">
        <f>'Lojas Leves'!H27*'% comissao'!G9</f>
        <v>0</v>
      </c>
      <c r="I8" s="10">
        <f>'Lojas Leves'!I27*'% comissao'!H9</f>
        <v>0</v>
      </c>
      <c r="J8" s="10">
        <f>'Lojas Leves'!J27*'% comissao'!I9</f>
        <v>0</v>
      </c>
      <c r="K8" s="10">
        <f>'Lojas Leves'!K27*'% comissao'!J9</f>
        <v>0</v>
      </c>
      <c r="L8" s="14">
        <f t="shared" si="0"/>
        <v>0</v>
      </c>
    </row>
    <row r="9" spans="1:12" x14ac:dyDescent="0.25">
      <c r="A9" s="5">
        <f>'Lojas Leves'!A9</f>
        <v>0</v>
      </c>
      <c r="B9" s="5">
        <f>'Lojas Leves'!B9</f>
        <v>0</v>
      </c>
      <c r="C9" s="10">
        <f>'Lojas Leves'!C28*'% comissao'!B10</f>
        <v>0</v>
      </c>
      <c r="D9" s="10">
        <f>'Lojas Leves'!D28*'% comissao'!C10</f>
        <v>0</v>
      </c>
      <c r="E9" s="10">
        <f>'Lojas Leves'!E28*'% comissao'!D10</f>
        <v>0</v>
      </c>
      <c r="F9" s="10">
        <f>'Lojas Leves'!F28*'% comissao'!E10</f>
        <v>0</v>
      </c>
      <c r="G9" s="10">
        <f>'Lojas Leves'!G28*'% comissao'!F10</f>
        <v>0</v>
      </c>
      <c r="H9" s="10">
        <f>'Lojas Leves'!H28*'% comissao'!G10</f>
        <v>0</v>
      </c>
      <c r="I9" s="10">
        <f>'Lojas Leves'!I28*'% comissao'!H10</f>
        <v>0</v>
      </c>
      <c r="J9" s="10">
        <f>'Lojas Leves'!J28*'% comissao'!I10</f>
        <v>0</v>
      </c>
      <c r="K9" s="10">
        <f>'Lojas Leves'!K28*'% comissao'!J10</f>
        <v>0</v>
      </c>
      <c r="L9" s="14">
        <f t="shared" si="0"/>
        <v>0</v>
      </c>
    </row>
    <row r="10" spans="1:12" x14ac:dyDescent="0.25">
      <c r="A10" s="5">
        <f>'Lojas Leves'!A10</f>
        <v>0</v>
      </c>
      <c r="B10" s="5">
        <f>'Lojas Leves'!B10</f>
        <v>0</v>
      </c>
      <c r="C10" s="10">
        <f>'Lojas Leves'!C29*'% comissao'!B11</f>
        <v>0</v>
      </c>
      <c r="D10" s="10">
        <f>'Lojas Leves'!D29*'% comissao'!C11</f>
        <v>0</v>
      </c>
      <c r="E10" s="10">
        <f>'Lojas Leves'!E29*'% comissao'!D11</f>
        <v>0</v>
      </c>
      <c r="F10" s="10">
        <f>'Lojas Leves'!F29*'% comissao'!E11</f>
        <v>0</v>
      </c>
      <c r="G10" s="10">
        <f>'Lojas Leves'!G29*'% comissao'!F11</f>
        <v>0</v>
      </c>
      <c r="H10" s="10">
        <f>'Lojas Leves'!H29*'% comissao'!G11</f>
        <v>0</v>
      </c>
      <c r="I10" s="10">
        <f>'Lojas Leves'!I29*'% comissao'!H11</f>
        <v>0</v>
      </c>
      <c r="J10" s="10">
        <f>'Lojas Leves'!J29*'% comissao'!I11</f>
        <v>0</v>
      </c>
      <c r="K10" s="10">
        <f>'Lojas Leves'!K29*'% comissao'!J11</f>
        <v>0</v>
      </c>
      <c r="L10" s="14">
        <f t="shared" si="0"/>
        <v>0</v>
      </c>
    </row>
    <row r="11" spans="1:12" x14ac:dyDescent="0.25">
      <c r="A11" s="5">
        <f>'Lojas Leves'!A11</f>
        <v>0</v>
      </c>
      <c r="B11" s="5">
        <f>'Lojas Leves'!B11</f>
        <v>0</v>
      </c>
      <c r="C11" s="10">
        <f>'Lojas Leves'!C30*'% comissao'!B12</f>
        <v>0</v>
      </c>
      <c r="D11" s="10">
        <f>'Lojas Leves'!D30*'% comissao'!C12</f>
        <v>0</v>
      </c>
      <c r="E11" s="10">
        <f>'Lojas Leves'!E30*'% comissao'!D12</f>
        <v>0</v>
      </c>
      <c r="F11" s="10">
        <f>'Lojas Leves'!F30*'% comissao'!E12</f>
        <v>0</v>
      </c>
      <c r="G11" s="10">
        <f>'Lojas Leves'!G30*'% comissao'!F12</f>
        <v>0</v>
      </c>
      <c r="H11" s="10">
        <f>'Lojas Leves'!H30*'% comissao'!G12</f>
        <v>0</v>
      </c>
      <c r="I11" s="10">
        <f>'Lojas Leves'!I30*'% comissao'!H12</f>
        <v>0</v>
      </c>
      <c r="J11" s="10">
        <f>'Lojas Leves'!J30*'% comissao'!I12</f>
        <v>0</v>
      </c>
      <c r="K11" s="10">
        <f>'Lojas Leves'!K30*'% comissao'!J12</f>
        <v>0</v>
      </c>
      <c r="L11" s="14">
        <f t="shared" si="0"/>
        <v>0</v>
      </c>
    </row>
    <row r="12" spans="1:12" x14ac:dyDescent="0.25">
      <c r="A12" s="5">
        <f>'Lojas Leves'!A12</f>
        <v>0</v>
      </c>
      <c r="B12" s="5">
        <f>'Lojas Leves'!B12</f>
        <v>0</v>
      </c>
      <c r="C12" s="10">
        <f>'Lojas Leves'!C31*'% comissao'!B13</f>
        <v>0</v>
      </c>
      <c r="D12" s="10">
        <f>'Lojas Leves'!D31*'% comissao'!C13</f>
        <v>0</v>
      </c>
      <c r="E12" s="10">
        <f>'Lojas Leves'!E31*'% comissao'!D13</f>
        <v>0</v>
      </c>
      <c r="F12" s="10">
        <f>'Lojas Leves'!F31*'% comissao'!E13</f>
        <v>0</v>
      </c>
      <c r="G12" s="10">
        <f>'Lojas Leves'!G31*'% comissao'!F13</f>
        <v>0</v>
      </c>
      <c r="H12" s="10">
        <f>'Lojas Leves'!H31*'% comissao'!G13</f>
        <v>0</v>
      </c>
      <c r="I12" s="10">
        <f>'Lojas Leves'!I31*'% comissao'!H13</f>
        <v>0</v>
      </c>
      <c r="J12" s="10">
        <f>'Lojas Leves'!J31*'% comissao'!I13</f>
        <v>0</v>
      </c>
      <c r="K12" s="10">
        <f>'Lojas Leves'!K31*'% comissao'!J13</f>
        <v>0</v>
      </c>
      <c r="L12" s="14">
        <f t="shared" si="0"/>
        <v>0</v>
      </c>
    </row>
    <row r="13" spans="1:12" x14ac:dyDescent="0.25">
      <c r="A13" s="5">
        <f>'Lojas Leves'!A13</f>
        <v>0</v>
      </c>
      <c r="B13" s="5">
        <f>'Lojas Leves'!B13</f>
        <v>0</v>
      </c>
      <c r="C13" s="10">
        <f>'Lojas Leves'!C32*'% comissao'!B14</f>
        <v>0</v>
      </c>
      <c r="D13" s="10">
        <f>'Lojas Leves'!D32*'% comissao'!C14</f>
        <v>0</v>
      </c>
      <c r="E13" s="10">
        <f>'Lojas Leves'!E32*'% comissao'!D14</f>
        <v>0</v>
      </c>
      <c r="F13" s="10">
        <f>'Lojas Leves'!F32*'% comissao'!E14</f>
        <v>0</v>
      </c>
      <c r="G13" s="10">
        <f>'Lojas Leves'!G32*'% comissao'!F14</f>
        <v>0</v>
      </c>
      <c r="H13" s="10">
        <f>'Lojas Leves'!H32*'% comissao'!G14</f>
        <v>0</v>
      </c>
      <c r="I13" s="10">
        <f>'Lojas Leves'!I32*'% comissao'!H14</f>
        <v>0</v>
      </c>
      <c r="J13" s="10">
        <f>'Lojas Leves'!J32*'% comissao'!I14</f>
        <v>0</v>
      </c>
      <c r="K13" s="10">
        <f>'Lojas Leves'!K32*'% comissao'!J14</f>
        <v>0</v>
      </c>
      <c r="L13" s="14">
        <f t="shared" si="0"/>
        <v>0</v>
      </c>
    </row>
    <row r="14" spans="1:12" x14ac:dyDescent="0.25">
      <c r="A14" s="5">
        <f>'Lojas Leves'!A14</f>
        <v>0</v>
      </c>
      <c r="B14" s="5">
        <f>'Lojas Leves'!B14</f>
        <v>0</v>
      </c>
      <c r="C14" s="10">
        <f>'Lojas Leves'!C33*'% comissao'!B15</f>
        <v>0</v>
      </c>
      <c r="D14" s="10">
        <f>'Lojas Leves'!D33*'% comissao'!C15</f>
        <v>0</v>
      </c>
      <c r="E14" s="10">
        <f>'Lojas Leves'!E33*'% comissao'!D15</f>
        <v>0</v>
      </c>
      <c r="F14" s="10">
        <f>'Lojas Leves'!F33*'% comissao'!E15</f>
        <v>0</v>
      </c>
      <c r="G14" s="10">
        <f>'Lojas Leves'!G33*'% comissao'!F15</f>
        <v>0</v>
      </c>
      <c r="H14" s="10">
        <f>'Lojas Leves'!H33*'% comissao'!G15</f>
        <v>0</v>
      </c>
      <c r="I14" s="10">
        <f>'Lojas Leves'!I33*'% comissao'!H15</f>
        <v>0</v>
      </c>
      <c r="J14" s="10">
        <f>'Lojas Leves'!J33*'% comissao'!I15</f>
        <v>0</v>
      </c>
      <c r="K14" s="10">
        <f>'Lojas Leves'!K33*'% comissao'!J15</f>
        <v>0</v>
      </c>
      <c r="L14" s="14">
        <f t="shared" si="0"/>
        <v>0</v>
      </c>
    </row>
    <row r="15" spans="1:12" x14ac:dyDescent="0.25">
      <c r="A15" s="5">
        <f>'Lojas Leves'!A15</f>
        <v>0</v>
      </c>
      <c r="B15" s="5">
        <f>'Lojas Leves'!B15</f>
        <v>0</v>
      </c>
      <c r="C15" s="10">
        <f>'Lojas Leves'!C34*'% comissao'!B16</f>
        <v>0</v>
      </c>
      <c r="D15" s="10">
        <f>'Lojas Leves'!D34*'% comissao'!C16</f>
        <v>0</v>
      </c>
      <c r="E15" s="10">
        <f>'Lojas Leves'!E34*'% comissao'!D16</f>
        <v>0</v>
      </c>
      <c r="F15" s="10">
        <f>'Lojas Leves'!F34*'% comissao'!E16</f>
        <v>0</v>
      </c>
      <c r="G15" s="10">
        <f>'Lojas Leves'!G34*'% comissao'!F16</f>
        <v>0</v>
      </c>
      <c r="H15" s="10">
        <f>'Lojas Leves'!H34*'% comissao'!G16</f>
        <v>0</v>
      </c>
      <c r="I15" s="10">
        <f>'Lojas Leves'!I34*'% comissao'!H16</f>
        <v>0</v>
      </c>
      <c r="J15" s="10">
        <f>'Lojas Leves'!J34*'% comissao'!I16</f>
        <v>0</v>
      </c>
      <c r="K15" s="10">
        <f>'Lojas Leves'!K34*'% comissao'!J16</f>
        <v>0</v>
      </c>
      <c r="L15" s="14">
        <f t="shared" si="0"/>
        <v>0</v>
      </c>
    </row>
    <row r="16" spans="1:12" x14ac:dyDescent="0.25">
      <c r="A16" s="5">
        <f>'Lojas Leves'!A16</f>
        <v>0</v>
      </c>
      <c r="B16" s="5">
        <f>'Lojas Leves'!B16</f>
        <v>0</v>
      </c>
      <c r="C16" s="10">
        <f>'Lojas Leves'!C35*'% comissao'!B17</f>
        <v>0</v>
      </c>
      <c r="D16" s="10">
        <f>'Lojas Leves'!D35*'% comissao'!C17</f>
        <v>0</v>
      </c>
      <c r="E16" s="10">
        <f>'Lojas Leves'!E35*'% comissao'!D17</f>
        <v>0</v>
      </c>
      <c r="F16" s="10">
        <f>'Lojas Leves'!F35*'% comissao'!E17</f>
        <v>0</v>
      </c>
      <c r="G16" s="10">
        <f>'Lojas Leves'!G35*'% comissao'!F17</f>
        <v>0</v>
      </c>
      <c r="H16" s="10">
        <f>'Lojas Leves'!H35*'% comissao'!G17</f>
        <v>0</v>
      </c>
      <c r="I16" s="10">
        <f>'Lojas Leves'!I35*'% comissao'!H17</f>
        <v>0</v>
      </c>
      <c r="J16" s="10">
        <f>'Lojas Leves'!J35*'% comissao'!I17</f>
        <v>0</v>
      </c>
      <c r="K16" s="10">
        <f>'Lojas Leves'!K35*'% comissao'!J17</f>
        <v>0</v>
      </c>
      <c r="L16" s="14">
        <f t="shared" si="0"/>
        <v>0</v>
      </c>
    </row>
    <row r="17" spans="1:12" x14ac:dyDescent="0.25">
      <c r="A17" s="5">
        <f>'Lojas Leves'!A17</f>
        <v>0</v>
      </c>
      <c r="B17" s="5">
        <f>'Lojas Leves'!B17</f>
        <v>0</v>
      </c>
      <c r="C17" s="10">
        <f>'Lojas Leves'!C36*'% comissao'!B18</f>
        <v>0</v>
      </c>
      <c r="D17" s="10">
        <f>'Lojas Leves'!D36*'% comissao'!C18</f>
        <v>0</v>
      </c>
      <c r="E17" s="10">
        <f>'Lojas Leves'!E36*'% comissao'!D18</f>
        <v>0</v>
      </c>
      <c r="F17" s="10">
        <f>'Lojas Leves'!F36*'% comissao'!E18</f>
        <v>0</v>
      </c>
      <c r="G17" s="10">
        <f>'Lojas Leves'!G36*'% comissao'!F18</f>
        <v>0</v>
      </c>
      <c r="H17" s="10">
        <f>'Lojas Leves'!H36*'% comissao'!G18</f>
        <v>0</v>
      </c>
      <c r="I17" s="10">
        <f>'Lojas Leves'!I36*'% comissao'!H18</f>
        <v>0</v>
      </c>
      <c r="J17" s="10">
        <f>'Lojas Leves'!J36*'% comissao'!I18</f>
        <v>0</v>
      </c>
      <c r="K17" s="10">
        <f>'Lojas Leves'!K36*'% comissao'!J18</f>
        <v>0</v>
      </c>
      <c r="L17" s="14">
        <f t="shared" si="0"/>
        <v>0</v>
      </c>
    </row>
    <row r="18" spans="1:12" x14ac:dyDescent="0.25">
      <c r="A18" s="5">
        <f>'Lojas Leves'!A18</f>
        <v>0</v>
      </c>
      <c r="B18" s="5">
        <f>'Lojas Leves'!B18</f>
        <v>0</v>
      </c>
      <c r="C18" s="10">
        <f>'Lojas Leves'!C37*'% comissao'!B19</f>
        <v>0</v>
      </c>
      <c r="D18" s="10">
        <f>'Lojas Leves'!D37*'% comissao'!C19</f>
        <v>0</v>
      </c>
      <c r="E18" s="10">
        <f>'Lojas Leves'!E37*'% comissao'!D19</f>
        <v>0</v>
      </c>
      <c r="F18" s="10">
        <f>'Lojas Leves'!F37*'% comissao'!E19</f>
        <v>0</v>
      </c>
      <c r="G18" s="10">
        <f>'Lojas Leves'!G37*'% comissao'!F19</f>
        <v>0</v>
      </c>
      <c r="H18" s="10">
        <f>'Lojas Leves'!H37*'% comissao'!G19</f>
        <v>0</v>
      </c>
      <c r="I18" s="10">
        <f>'Lojas Leves'!I37*'% comissao'!H19</f>
        <v>0</v>
      </c>
      <c r="J18" s="10">
        <f>'Lojas Leves'!J37*'% comissao'!I19</f>
        <v>0</v>
      </c>
      <c r="K18" s="10">
        <f>'Lojas Leves'!K37*'% comissao'!J19</f>
        <v>0</v>
      </c>
      <c r="L18" s="14">
        <f t="shared" si="0"/>
        <v>0</v>
      </c>
    </row>
    <row r="19" spans="1:12" x14ac:dyDescent="0.25">
      <c r="A19" s="5">
        <f>'Lojas Leves'!A19</f>
        <v>0</v>
      </c>
      <c r="B19" s="5">
        <f>'Lojas Leves'!B19</f>
        <v>0</v>
      </c>
      <c r="C19" s="10">
        <f>'Lojas Leves'!C38*'% comissao'!B20</f>
        <v>0</v>
      </c>
      <c r="D19" s="10">
        <f>'Lojas Leves'!D38*'% comissao'!C20</f>
        <v>0</v>
      </c>
      <c r="E19" s="10">
        <f>'Lojas Leves'!E38*'% comissao'!D20</f>
        <v>0</v>
      </c>
      <c r="F19" s="10">
        <f>'Lojas Leves'!F38*'% comissao'!E20</f>
        <v>0</v>
      </c>
      <c r="G19" s="10">
        <f>'Lojas Leves'!G38*'% comissao'!F20</f>
        <v>0</v>
      </c>
      <c r="H19" s="10">
        <f>'Lojas Leves'!H38*'% comissao'!G20</f>
        <v>0</v>
      </c>
      <c r="I19" s="10">
        <f>'Lojas Leves'!I38*'% comissao'!H20</f>
        <v>0</v>
      </c>
      <c r="J19" s="10">
        <f>'Lojas Leves'!J38*'% comissao'!I20</f>
        <v>0</v>
      </c>
      <c r="K19" s="10">
        <f>'Lojas Leves'!K38*'% comissao'!J20</f>
        <v>0</v>
      </c>
      <c r="L19" s="14">
        <f t="shared" si="0"/>
        <v>0</v>
      </c>
    </row>
    <row r="20" spans="1:12" x14ac:dyDescent="0.25">
      <c r="A20" s="5">
        <f>'Lojas Leves'!A20</f>
        <v>0</v>
      </c>
      <c r="B20" s="5">
        <f>'Lojas Leves'!B20</f>
        <v>0</v>
      </c>
      <c r="C20" s="10">
        <f>'Lojas Leves'!C39*'% comissao'!B21</f>
        <v>0</v>
      </c>
      <c r="D20" s="10">
        <f>'Lojas Leves'!D39*'% comissao'!C21</f>
        <v>0</v>
      </c>
      <c r="E20" s="10">
        <f>'Lojas Leves'!E39*'% comissao'!D21</f>
        <v>0</v>
      </c>
      <c r="F20" s="10">
        <f>'Lojas Leves'!F39*'% comissao'!E21</f>
        <v>0</v>
      </c>
      <c r="G20" s="10">
        <f>'Lojas Leves'!G39*'% comissao'!F21</f>
        <v>0</v>
      </c>
      <c r="H20" s="10">
        <f>'Lojas Leves'!H39*'% comissao'!G21</f>
        <v>0</v>
      </c>
      <c r="I20" s="10">
        <f>'Lojas Leves'!I39*'% comissao'!H21</f>
        <v>0</v>
      </c>
      <c r="J20" s="10">
        <f>'Lojas Leves'!J39*'% comissao'!I21</f>
        <v>0</v>
      </c>
      <c r="K20" s="10">
        <f>'Lojas Leves'!K39*'% comissao'!J21</f>
        <v>0</v>
      </c>
      <c r="L20" s="14">
        <f t="shared" si="0"/>
        <v>0</v>
      </c>
    </row>
    <row r="21" spans="1:12" x14ac:dyDescent="0.25">
      <c r="C21" s="1">
        <f t="shared" ref="C21:L21" si="1">SUM(C2:C20)</f>
        <v>150</v>
      </c>
      <c r="D21" s="1">
        <f t="shared" si="1"/>
        <v>566.57330000000002</v>
      </c>
      <c r="E21" s="1">
        <f t="shared" si="1"/>
        <v>2338.3523999999998</v>
      </c>
      <c r="F21" s="1">
        <f t="shared" si="1"/>
        <v>40</v>
      </c>
      <c r="G21" s="1">
        <f t="shared" si="1"/>
        <v>79.2</v>
      </c>
      <c r="H21" s="1">
        <f t="shared" si="1"/>
        <v>40</v>
      </c>
      <c r="I21" s="1">
        <f t="shared" si="1"/>
        <v>31.6</v>
      </c>
      <c r="J21" s="1">
        <f t="shared" si="1"/>
        <v>1100</v>
      </c>
      <c r="K21" s="1">
        <f t="shared" si="1"/>
        <v>350</v>
      </c>
      <c r="L21" s="1">
        <f t="shared" si="1"/>
        <v>4695.7256999999991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Lojas Leves</vt:lpstr>
      <vt:lpstr>% comissao</vt:lpstr>
      <vt:lpstr>Smart</vt:lpstr>
      <vt:lpstr>Operadores</vt:lpstr>
      <vt:lpstr>Consultores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BAIA</dc:creator>
  <cp:lastModifiedBy>Rodrigo Vieira Baía</cp:lastModifiedBy>
  <dcterms:created xsi:type="dcterms:W3CDTF">2026-01-28T03:07:04Z</dcterms:created>
  <dcterms:modified xsi:type="dcterms:W3CDTF">2026-02-20T19:50:26Z</dcterms:modified>
</cp:coreProperties>
</file>